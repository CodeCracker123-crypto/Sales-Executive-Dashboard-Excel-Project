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925"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C:\Users\Kaif\Documents\"/>
    </mc:Choice>
  </mc:AlternateContent>
  <xr:revisionPtr revIDLastSave="0" documentId="8_{46ED6ED7-1B02-44F1-A169-98270399D04E}" xr6:coauthVersionLast="47" xr6:coauthVersionMax="47" xr10:uidLastSave="{00000000-0000-0000-0000-000000000000}"/>
  <bookViews>
    <workbookView xWindow="-120" yWindow="-120" windowWidth="20730" windowHeight="11160" xr2:uid="{00000000-000D-0000-FFFF-FFFF00000000}"/>
  </bookViews>
  <sheets>
    <sheet name="Sheet2" sheetId="2" r:id="rId1"/>
    <sheet name="Sheet1" sheetId="1" r:id="rId2"/>
  </sheets>
  <definedNames>
    <definedName name="Slicer_Region">#N/A</definedName>
  </definedNames>
  <calcPr calcId="124519"/>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<sst xmlns="http://schemas.openxmlformats.org/spreadsheetml/2006/main" count="194" uniqueCount="126">
  <si>
    <t>Emp Code</t>
  </si>
  <si>
    <t>Name</t>
  </si>
  <si>
    <t>Region</t>
  </si>
  <si>
    <t>Day1</t>
  </si>
  <si>
    <t>Day2</t>
  </si>
  <si>
    <t>Day3</t>
  </si>
  <si>
    <t>Day4</t>
  </si>
  <si>
    <t>Day5</t>
  </si>
  <si>
    <t>Total Sales</t>
  </si>
  <si>
    <t>Target</t>
  </si>
  <si>
    <t>Target Hit %</t>
  </si>
  <si>
    <t>Away From Target %</t>
  </si>
  <si>
    <t>EMP001</t>
  </si>
  <si>
    <t>EMP002</t>
  </si>
  <si>
    <t>EMP003</t>
  </si>
  <si>
    <t>EMP004</t>
  </si>
  <si>
    <t>EMP005</t>
  </si>
  <si>
    <t>EMP006</t>
  </si>
  <si>
    <t>EMP007</t>
  </si>
  <si>
    <t>EMP008</t>
  </si>
  <si>
    <t>EMP009</t>
  </si>
  <si>
    <t>EMP010</t>
  </si>
  <si>
    <t>EMP011</t>
  </si>
  <si>
    <t>EMP012</t>
  </si>
  <si>
    <t>EMP013</t>
  </si>
  <si>
    <t>EMP014</t>
  </si>
  <si>
    <t>EMP015</t>
  </si>
  <si>
    <t>EMP016</t>
  </si>
  <si>
    <t>EMP017</t>
  </si>
  <si>
    <t>EMP018</t>
  </si>
  <si>
    <t>EMP019</t>
  </si>
  <si>
    <t>EMP020</t>
  </si>
  <si>
    <t>EMP021</t>
  </si>
  <si>
    <t>EMP022</t>
  </si>
  <si>
    <t>EMP023</t>
  </si>
  <si>
    <t>EMP024</t>
  </si>
  <si>
    <t>EMP025</t>
  </si>
  <si>
    <t>EMP026</t>
  </si>
  <si>
    <t>EMP027</t>
  </si>
  <si>
    <t>EMP028</t>
  </si>
  <si>
    <t>EMP029</t>
  </si>
  <si>
    <t>EMP030</t>
  </si>
  <si>
    <t>EMP031</t>
  </si>
  <si>
    <t>EMP032</t>
  </si>
  <si>
    <t>EMP033</t>
  </si>
  <si>
    <t>EMP034</t>
  </si>
  <si>
    <t>EMP035</t>
  </si>
  <si>
    <t>EMP036</t>
  </si>
  <si>
    <t>EMP037</t>
  </si>
  <si>
    <t>EMP038</t>
  </si>
  <si>
    <t>EMP039</t>
  </si>
  <si>
    <t>EMP040</t>
  </si>
  <si>
    <t>EMP041</t>
  </si>
  <si>
    <t>EMP042</t>
  </si>
  <si>
    <t>EMP043</t>
  </si>
  <si>
    <t>EMP044</t>
  </si>
  <si>
    <t>EMP045</t>
  </si>
  <si>
    <t>EMP046</t>
  </si>
  <si>
    <t>EMP047</t>
  </si>
  <si>
    <t>EMP048</t>
  </si>
  <si>
    <t>EMP049</t>
  </si>
  <si>
    <t>EMP050</t>
  </si>
  <si>
    <t>Taha</t>
  </si>
  <si>
    <t>Bilal</t>
  </si>
  <si>
    <t>Ahmed</t>
  </si>
  <si>
    <t>Iqra</t>
  </si>
  <si>
    <t>Sana</t>
  </si>
  <si>
    <t>Zeeshan</t>
  </si>
  <si>
    <t>Rabia</t>
  </si>
  <si>
    <t>Zainab</t>
  </si>
  <si>
    <t>Junaid</t>
  </si>
  <si>
    <t>Usman</t>
  </si>
  <si>
    <t>Komal</t>
  </si>
  <si>
    <t>Mehwish</t>
  </si>
  <si>
    <t>Ayesha</t>
  </si>
  <si>
    <t>Fariha</t>
  </si>
  <si>
    <t>Hafsa</t>
  </si>
  <si>
    <t>Hina</t>
  </si>
  <si>
    <t>Waqar</t>
  </si>
  <si>
    <t>Rizwan</t>
  </si>
  <si>
    <t>Owais</t>
  </si>
  <si>
    <t>Noman</t>
  </si>
  <si>
    <t>Adeel</t>
  </si>
  <si>
    <t>Imran</t>
  </si>
  <si>
    <t>Farhan</t>
  </si>
  <si>
    <t>Shahid</t>
  </si>
  <si>
    <t>Akhtar</t>
  </si>
  <si>
    <t>Farah</t>
  </si>
  <si>
    <t>Shakeel</t>
  </si>
  <si>
    <t>Beenish</t>
  </si>
  <si>
    <t>Kashif</t>
  </si>
  <si>
    <t>Mariam</t>
  </si>
  <si>
    <t>Ali</t>
  </si>
  <si>
    <t>Neha</t>
  </si>
  <si>
    <t>Jawad</t>
  </si>
  <si>
    <t>Tariq</t>
  </si>
  <si>
    <t>Salman</t>
  </si>
  <si>
    <t>Hira</t>
  </si>
  <si>
    <t>Hassan</t>
  </si>
  <si>
    <t>Saad</t>
  </si>
  <si>
    <t>Noor</t>
  </si>
  <si>
    <t>Yasir</t>
  </si>
  <si>
    <t>Asad</t>
  </si>
  <si>
    <t>Anum</t>
  </si>
  <si>
    <t>Hamza</t>
  </si>
  <si>
    <t>Danish</t>
  </si>
  <si>
    <t>Sahar</t>
  </si>
  <si>
    <t>Fatima</t>
  </si>
  <si>
    <t>Nadia</t>
  </si>
  <si>
    <t>Maryam</t>
  </si>
  <si>
    <t>Lubna</t>
  </si>
  <si>
    <t>Saba</t>
  </si>
  <si>
    <t>Peshawar</t>
  </si>
  <si>
    <t>Karachi</t>
  </si>
  <si>
    <t>Faisalabad</t>
  </si>
  <si>
    <t>Islamabad</t>
  </si>
  <si>
    <t>Lahore</t>
  </si>
  <si>
    <t>Sales Executive</t>
  </si>
  <si>
    <t xml:space="preserve">Target Hit %   </t>
  </si>
  <si>
    <t xml:space="preserve">Away From Target %    </t>
  </si>
  <si>
    <t xml:space="preserve"> Total Sales   </t>
  </si>
  <si>
    <t xml:space="preserve">Total Sales   </t>
  </si>
  <si>
    <t>Bar Chart</t>
  </si>
  <si>
    <t>Pie Chart</t>
  </si>
  <si>
    <t>Line Chart</t>
  </si>
  <si>
    <t>DashBoard Project For sales Executive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</si>
</sst>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1"/>
      <color theme="1"/>
      <name val="Calibri"/>
      <family val="2"/>
      <scheme val="minor"/>
    </font>
    <font>
      <sz val="8"/>
      <name val="Segoe UI"/>
      <family val="2"/>
    </font>
    <font>
      <b/>
      <sz val="24"/>
      <color theme="1"/>
      <name val="Times New Roman"/>
      <family val="1"/>
    </font>
  </fonts>
  <fills count="5">
    <fill>
      <patternFill patternType="none"/>
    </fill>
    <fill>
      <patternFill patternType="gray125"/>
    </fill>
    <fill>
      <patternFill patternType="solid">
        <fgColor rgb="FFFFFFCC"/>
        <bgColor indexed="64"/>
      </patternFill>
    </fill>
    <fill>
      <patternFill patternType="solid">
        <fgColor theme="4" tint="0.59999389629810485"/>
        <bgColor indexed="64"/>
      </patternFill>
    </fill>
    <fill>
      <patternFill patternType="solid">
        <fgColor theme="8" tint="0.59999389629810485"/>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1">
    <xf numFmtId="0" fontId="0" fillId="0" borderId="0" xfId="0"/>
    <xf numFmtId="0" fontId="1" fillId="0" borderId="1" xfId="0" applyFont="1" applyBorder="1" applyAlignment="1">
      <alignment horizontal="center" vertical="top"/>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2" borderId="0" xfId="0" applyFill="1"/>
    <xf numFmtId="0" fontId="0" fillId="3" borderId="1" xfId="0" applyFill="1" applyBorder="1"/>
    <xf numFmtId="0" fontId="0" fillId="4" borderId="0" xfId="0" applyFill="1"/>
    <xf numFmtId="0" fontId="3" fillId="2" borderId="0" xfId="0" applyFont="1" applyFill="1" applyAlignment="1">
      <alignment horizontal="center" vertical="center"/>
    </xf>
    <xf numFmtId="0" fontId="0" fillId="2" borderId="0" xfId="0" applyFill="1" applyAlignment="1">
      <alignment horizontal="center" vertical="center"/>
    </xf>
  </cellXfs>
  <cellStyles count="1">
    <cellStyle name="Normal" xfId="0" builtinId="0"/>
  </cellStyles>
  <dxfs count="1">
    <dxf>
      <fill>
        <patternFill>
          <bgColor rgb="FFFFC000"/>
        </patternFill>
      </fill>
    </dxf>
  </dxfs>
  <tableStyles count="1" defaultTableStyle="TableStyleMedium9" defaultPivotStyle="PivotStyleLight16">
    <tableStyle name="Slicer Style 1" pivot="0" table="0" count="4" xr9:uid="{D340C504-93F1-44F4-8FAE-51693370D567}">
      <tableStyleElement type="wholeTable" dxfId="0"/>
    </tableStyle>
  </tableStyles>
  <colors>
    <mruColors>
      <color rgb="FFFFFFCC"/>
      <color rgb="FFFFCC99"/>
      <color rgb="FFFFFFFF"/>
      <color rgb="FFFFCC66"/>
      <color rgb="FFFFFF66"/>
    </mruColors>
  </colors>
  <extLst>
    <ext xmlns:x14="http://schemas.microsoft.com/office/spreadsheetml/2009/9/main" uri="{46F421CA-312F-682f-3DD2-61675219B42D}">
      <x14:dxfs count="3">
        <dxf>
          <fill>
            <patternFill>
              <bgColor theme="4" tint="0.39994506668294322"/>
            </patternFill>
          </fill>
        </dxf>
        <dxf>
          <fill>
            <patternFill>
              <bgColor theme="4"/>
            </patternFill>
          </fill>
        </dxf>
        <dxf>
          <fill>
            <patternFill>
              <bgColor rgb="FFFFFF0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
            <x14:slicerStyleElement type="selectedItemWithData" dxfId="2"/>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[Pakistani_Employee_Sales_Report.xlsm]Sheet2!PivotTable1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Sheet2!$A$5:$A$9</c:f>
              <c:strCache>
                <c:ptCount val="5"/>
                <c:pt idx="0">
                  <c:v>Bilal</c:v>
                </c:pt>
                <c:pt idx="1">
                  <c:v>Komal</c:v>
                </c:pt>
                <c:pt idx="2">
                  <c:v>Nadia</c:v>
                </c:pt>
                <c:pt idx="3">
                  <c:v>Owais</c:v>
                </c:pt>
                <c:pt idx="4">
                  <c:v>Rizwan</c:v>
                </c:pt>
              </c:strCache>
            </c:strRef>
          </c:cat>
          <c:val>
            <c:numRef>
              <c:f>Sheet2!$B$5:$B$9</c:f>
              <c:numCache>
                <c:formatCode>General</c:formatCode>
                <c:ptCount val="5"/>
                <c:pt idx="0">
                  <c:v>16766</c:v>
                </c:pt>
                <c:pt idx="1">
                  <c:v>16838</c:v>
                </c:pt>
                <c:pt idx="2">
                  <c:v>17194</c:v>
                </c:pt>
                <c:pt idx="3">
                  <c:v>18627</c:v>
                </c:pt>
                <c:pt idx="4">
                  <c:v>17888</c:v>
                </c:pt>
              </c:numCache>
            </c:numRef>
          </c:val>
          <c:extLst>
            <c:ext xmlns:c16="http://schemas.microsoft.com/office/drawing/2014/chart" uri="{C3380CC4-5D6E-409C-BE32-E72D297353CC}">
              <c16:uniqueId val="{00000000-D110-4F9C-9EB7-C75D85345F0A}"/>
            </c:ext>
          </c:extLst>
        </c:ser>
        <c:dLbls>
          <c:showLegendKey val="0"/>
          <c:showVal val="0"/>
          <c:showCatName val="0"/>
          <c:showSerName val="0"/>
          <c:showPercent val="0"/>
          <c:showBubbleSize val="0"/>
        </c:dLbls>
        <c:gapWidth val="182"/>
        <c:axId val="2127659375"/>
        <c:axId val="2127659855"/>
      </c:barChart>
      <c:catAx>
        <c:axId val="21276593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2127659855"/>
        <c:crosses val="autoZero"/>
        <c:auto val="1"/>
        <c:lblAlgn val="ctr"/>
        <c:lblOffset val="100"/>
        <c:noMultiLvlLbl val="0"/>
      </c:catAx>
      <c:valAx>
        <c:axId val="2127659855"/>
        <c:scaling>
          <c:orientation val="minMax"/>
        </c:scaling>
        <c:delete val="1"/>
        <c:axPos val="b"/>
        <c:numFmt formatCode="General" sourceLinked="1"/>
        <c:majorTickMark val="none"/>
        <c:minorTickMark val="none"/>
        <c:tickLblPos val="nextTo"/>
        <c:crossAx val="212765937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C000"/>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[Pakistani_Employee_Sales_Report.xlsm]Sheet2!PivotTable3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PK"/>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Sheet2!$H$4</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PK"/>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Sheet2!$G$5:$G$9</c:f>
              <c:strCache>
                <c:ptCount val="5"/>
                <c:pt idx="0">
                  <c:v>Ayesha</c:v>
                </c:pt>
                <c:pt idx="1">
                  <c:v>Fatima</c:v>
                </c:pt>
                <c:pt idx="2">
                  <c:v>Hafsa</c:v>
                </c:pt>
                <c:pt idx="3">
                  <c:v>Komal</c:v>
                </c:pt>
                <c:pt idx="4">
                  <c:v>Rizwan</c:v>
                </c:pt>
              </c:strCache>
            </c:strRef>
          </c:cat>
          <c:val>
            <c:numRef>
              <c:f>Sheet2!$H$5:$H$9</c:f>
              <c:numCache>
                <c:formatCode>0.00%</c:formatCode>
                <c:ptCount val="5"/>
                <c:pt idx="0">
                  <c:v>70.3</c:v>
                </c:pt>
                <c:pt idx="1">
                  <c:v>70.52</c:v>
                </c:pt>
                <c:pt idx="2">
                  <c:v>73.83</c:v>
                </c:pt>
                <c:pt idx="3">
                  <c:v>78.33</c:v>
                </c:pt>
                <c:pt idx="4">
                  <c:v>75.86</c:v>
                </c:pt>
              </c:numCache>
            </c:numRef>
          </c:val>
          <c:extLst>
            <c:ext xmlns:c16="http://schemas.microsoft.com/office/drawing/2014/chart" uri="{C3380CC4-5D6E-409C-BE32-E72D297353CC}">
              <c16:uniqueId val="{00000000-16FB-4DB1-809D-A5D05173FB81}"/>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P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C000"/>
    </a:solidFill>
    <a:ln w="9525" cap="flat" cmpd="sng" algn="ctr">
      <a:solidFill>
        <a:schemeClr val="dk1">
          <a:lumMod val="25000"/>
          <a:lumOff val="7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[Pakistani_Employee_Sales_Report.xlsm]Sheet2!PivotTable4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Sheet2!$K$4</c:f>
              <c:strCache>
                <c:ptCount val="1"/>
                <c:pt idx="0">
                  <c:v>Total</c:v>
                </c:pt>
              </c:strCache>
            </c:strRef>
          </c:tx>
          <c:spPr>
            <a:ln w="28575" cap="rnd">
              <a:solidFill>
                <a:schemeClr val="accent1"/>
              </a:solidFill>
              <a:round/>
            </a:ln>
            <a:effectLst/>
          </c:spPr>
          <c:marker>
            <c:symbol val="none"/>
          </c:marker>
          <c:cat>
            <c:strRef>
              <c:f>Sheet2!$J$5:$J$9</c:f>
              <c:strCache>
                <c:ptCount val="5"/>
                <c:pt idx="0">
                  <c:v>Ahmed</c:v>
                </c:pt>
                <c:pt idx="1">
                  <c:v>Asad</c:v>
                </c:pt>
                <c:pt idx="2">
                  <c:v>Mariam</c:v>
                </c:pt>
                <c:pt idx="3">
                  <c:v>Saba</c:v>
                </c:pt>
                <c:pt idx="4">
                  <c:v>Usman</c:v>
                </c:pt>
              </c:strCache>
            </c:strRef>
          </c:cat>
          <c:val>
            <c:numRef>
              <c:f>Sheet2!$K$5:$K$9</c:f>
              <c:numCache>
                <c:formatCode>0.00%</c:formatCode>
                <c:ptCount val="5"/>
                <c:pt idx="0">
                  <c:v>63.15</c:v>
                </c:pt>
                <c:pt idx="1">
                  <c:v>51.15</c:v>
                </c:pt>
                <c:pt idx="2">
                  <c:v>50.84</c:v>
                </c:pt>
                <c:pt idx="3">
                  <c:v>50</c:v>
                </c:pt>
                <c:pt idx="4">
                  <c:v>50.98</c:v>
                </c:pt>
              </c:numCache>
            </c:numRef>
          </c:val>
          <c:smooth val="0"/>
          <c:extLst>
            <c:ext xmlns:c16="http://schemas.microsoft.com/office/drawing/2014/chart" uri="{C3380CC4-5D6E-409C-BE32-E72D297353CC}">
              <c16:uniqueId val="{00000000-D2F0-47B1-8B04-46181074DC16}"/>
            </c:ext>
          </c:extLst>
        </c:ser>
        <c:dLbls>
          <c:showLegendKey val="0"/>
          <c:showVal val="0"/>
          <c:showCatName val="0"/>
          <c:showSerName val="0"/>
          <c:showPercent val="0"/>
          <c:showBubbleSize val="0"/>
        </c:dLbls>
        <c:smooth val="0"/>
        <c:axId val="2091133919"/>
        <c:axId val="2091132959"/>
      </c:lineChart>
      <c:catAx>
        <c:axId val="20911339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2091132959"/>
        <c:crosses val="autoZero"/>
        <c:auto val="1"/>
        <c:lblAlgn val="ctr"/>
        <c:lblOffset val="100"/>
        <c:noMultiLvlLbl val="0"/>
      </c:catAx>
      <c:valAx>
        <c:axId val="2091132959"/>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2091133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C000"/>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2" lockText="1" noThreeD="1"/>
</file>

<file path=xl/ctrlProps/ctrlProp2.xml><?xml version="1.0" encoding="utf-8"?>
<formControlPr xmlns="http://schemas.microsoft.com/office/spreadsheetml/2009/9/main" objectType="CheckBox" checked="Checked" fmlaLink="$D$2" lockText="1" noThreeD="1"/>
</file>

<file path=xl/ctrlProps/ctrlProp3.xml><?xml version="1.0" encoding="utf-8"?>
<formControlPr xmlns="http://schemas.microsoft.com/office/spreadsheetml/2009/9/main" objectType="CheckBox" checked="Checked" fmlaLink="$G$2" lockText="1" noThreeD="1"/>
</file>

<file path=xl/ctrlProps/ctrlProp4.xml><?xml version="1.0" encoding="utf-8"?>
<formControlPr xmlns="http://schemas.microsoft.com/office/spreadsheetml/2009/9/main" objectType="CheckBox" fmlaLink="$J$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119062</xdr:rowOff>
    </xdr:from>
    <xdr:to>
      <xdr:col>4</xdr:col>
      <xdr:colOff>695325</xdr:colOff>
      <xdr:row>20</xdr:row>
      <xdr:rowOff>123825</xdr:rowOff>
    </xdr:to>
    <xdr:graphicFrame macro="">
      <xdr:nvGraphicFramePr>
        <xdr:cNvPr id="2" name="Chart 1">
          <a:extLst>
            <a:ext uri="{FF2B5EF4-FFF2-40B4-BE49-F238E27FC236}">
              <a16:creationId xmlns:a16="http://schemas.microsoft.com/office/drawing/2014/main" id="{84D9D183-5D25-7BC1-EB36-BB51F15196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28575</xdr:colOff>
      <xdr:row>9</xdr:row>
      <xdr:rowOff>109538</xdr:rowOff>
    </xdr:from>
    <xdr:to>
      <xdr:col>8</xdr:col>
      <xdr:colOff>0</xdr:colOff>
      <xdr:row>20</xdr:row>
      <xdr:rowOff>104776</xdr:rowOff>
    </xdr:to>
    <xdr:graphicFrame macro="">
      <xdr:nvGraphicFramePr>
        <xdr:cNvPr id="3" name="Chart 2">
          <a:extLst>
            <a:ext uri="{FF2B5EF4-FFF2-40B4-BE49-F238E27FC236}">
              <a16:creationId xmlns:a16="http://schemas.microsoft.com/office/drawing/2014/main" id="{3A6372C0-4DEE-E00C-2884-8E1A24B342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47625</xdr:colOff>
      <xdr:row>9</xdr:row>
      <xdr:rowOff>104776</xdr:rowOff>
    </xdr:from>
    <xdr:to>
      <xdr:col>10</xdr:col>
      <xdr:colOff>1285875</xdr:colOff>
      <xdr:row>20</xdr:row>
      <xdr:rowOff>85726</xdr:rowOff>
    </xdr:to>
    <xdr:graphicFrame macro="">
      <xdr:nvGraphicFramePr>
        <xdr:cNvPr id="4" name="Chart 3">
          <a:extLst>
            <a:ext uri="{FF2B5EF4-FFF2-40B4-BE49-F238E27FC236}">
              <a16:creationId xmlns:a16="http://schemas.microsoft.com/office/drawing/2014/main" id="{1C5FFC90-4FB6-3C82-1F4F-70865CA7A2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47625</xdr:colOff>
      <xdr:row>1</xdr:row>
      <xdr:rowOff>57150</xdr:rowOff>
    </xdr:from>
    <xdr:to>
      <xdr:col>10</xdr:col>
      <xdr:colOff>1295400</xdr:colOff>
      <xdr:row>1</xdr:row>
      <xdr:rowOff>485775</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E154193C-DB8F-943C-D9BF-63062412C03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47625" y="952500"/>
              <a:ext cx="8686800" cy="428625"/>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257175</xdr:colOff>
      <xdr:row>2</xdr:row>
      <xdr:rowOff>400050</xdr:rowOff>
    </xdr:from>
    <xdr:to>
      <xdr:col>1</xdr:col>
      <xdr:colOff>723900</xdr:colOff>
      <xdr:row>2</xdr:row>
      <xdr:rowOff>809625</xdr:rowOff>
    </xdr:to>
    <xdr:sp macro="" textlink="">
      <xdr:nvSpPr>
        <xdr:cNvPr id="6" name="Speech Bubble: Rectangle with Corners Rounded 5">
          <a:extLst>
            <a:ext uri="{FF2B5EF4-FFF2-40B4-BE49-F238E27FC236}">
              <a16:creationId xmlns:a16="http://schemas.microsoft.com/office/drawing/2014/main" id="{1A690A4F-1A71-C0FF-6877-4D7605C404C3}"/>
            </a:ext>
          </a:extLst>
        </xdr:cNvPr>
        <xdr:cNvSpPr/>
      </xdr:nvSpPr>
      <xdr:spPr>
        <a:xfrm>
          <a:off x="257175" y="1238250"/>
          <a:ext cx="1343025" cy="409575"/>
        </a:xfrm>
        <a:prstGeom prst="wedgeRoundRectCallout">
          <a:avLst/>
        </a:prstGeom>
        <a:solidFill>
          <a:srgbClr val="FFC000"/>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PK" sz="1100"/>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2</xdr:row>
          <xdr:rowOff>514350</xdr:rowOff>
        </xdr:from>
        <xdr:to>
          <xdr:col>1</xdr:col>
          <xdr:colOff>695325</xdr:colOff>
          <xdr:row>2</xdr:row>
          <xdr:rowOff>781050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K"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190500</xdr:colOff>
      <xdr:row>2</xdr:row>
      <xdr:rowOff>390525</xdr:rowOff>
    </xdr:from>
    <xdr:to>
      <xdr:col>4</xdr:col>
      <xdr:colOff>657225</xdr:colOff>
      <xdr:row>2</xdr:row>
      <xdr:rowOff>800100</xdr:rowOff>
    </xdr:to>
    <xdr:sp macro="" textlink="">
      <xdr:nvSpPr>
        <xdr:cNvPr id="13" name="Speech Bubble: Rectangle with Corners Rounded 12">
          <a:extLst>
            <a:ext uri="{FF2B5EF4-FFF2-40B4-BE49-F238E27FC236}">
              <a16:creationId xmlns:a16="http://schemas.microsoft.com/office/drawing/2014/main" id="{98F335B3-47EA-4B5D-A106-8560B9B59179}"/>
            </a:ext>
          </a:extLst>
        </xdr:cNvPr>
        <xdr:cNvSpPr/>
      </xdr:nvSpPr>
      <xdr:spPr>
        <a:xfrm>
          <a:off x="2828925" y="1228725"/>
          <a:ext cx="1343025" cy="409575"/>
        </a:xfrm>
        <a:prstGeom prst="wedgeRoundRectCallout">
          <a:avLst/>
        </a:prstGeom>
        <a:solidFill>
          <a:srgbClr val="FFC000"/>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PK" sz="1100"/>
        </a:p>
      </xdr:txBody>
    </xdr:sp>
    <xdr:clientData/>
  </xdr:twoCellAnchor>
  <xdr:twoCellAnchor>
    <xdr:from>
      <xdr:col>6</xdr:col>
      <xdr:colOff>219075</xdr:colOff>
      <xdr:row>2</xdr:row>
      <xdr:rowOff>438150</xdr:rowOff>
    </xdr:from>
    <xdr:to>
      <xdr:col>7</xdr:col>
      <xdr:colOff>685800</xdr:colOff>
      <xdr:row>2</xdr:row>
      <xdr:rowOff>847725</xdr:rowOff>
    </xdr:to>
    <xdr:sp macro="" textlink="">
      <xdr:nvSpPr>
        <xdr:cNvPr id="14" name="Speech Bubble: Rectangle with Corners Rounded 13">
          <a:extLst>
            <a:ext uri="{FF2B5EF4-FFF2-40B4-BE49-F238E27FC236}">
              <a16:creationId xmlns:a16="http://schemas.microsoft.com/office/drawing/2014/main" id="{CF8B74BA-1A1A-423E-9F21-0D5E7429C426}"/>
            </a:ext>
          </a:extLst>
        </xdr:cNvPr>
        <xdr:cNvSpPr/>
      </xdr:nvSpPr>
      <xdr:spPr>
        <a:xfrm>
          <a:off x="4143375" y="1276350"/>
          <a:ext cx="1685925" cy="409575"/>
        </a:xfrm>
        <a:prstGeom prst="wedgeRoundRectCallout">
          <a:avLst/>
        </a:prstGeom>
        <a:solidFill>
          <a:srgbClr val="FFC000"/>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PK" sz="1100"/>
        </a:p>
      </xdr:txBody>
    </xdr:sp>
    <xdr:clientData/>
  </xdr:twoCellAnchor>
  <xdr:twoCellAnchor>
    <xdr:from>
      <xdr:col>9</xdr:col>
      <xdr:colOff>371475</xdr:colOff>
      <xdr:row>2</xdr:row>
      <xdr:rowOff>428625</xdr:rowOff>
    </xdr:from>
    <xdr:to>
      <xdr:col>10</xdr:col>
      <xdr:colOff>838200</xdr:colOff>
      <xdr:row>2</xdr:row>
      <xdr:rowOff>838200</xdr:rowOff>
    </xdr:to>
    <xdr:sp macro="" textlink="">
      <xdr:nvSpPr>
        <xdr:cNvPr id="15" name="Speech Bubble: Rectangle with Corners Rounded 14">
          <a:extLst>
            <a:ext uri="{FF2B5EF4-FFF2-40B4-BE49-F238E27FC236}">
              <a16:creationId xmlns:a16="http://schemas.microsoft.com/office/drawing/2014/main" id="{666EAEA2-9B3C-423A-A35E-5DD14AFB2339}"/>
            </a:ext>
          </a:extLst>
        </xdr:cNvPr>
        <xdr:cNvSpPr/>
      </xdr:nvSpPr>
      <xdr:spPr>
        <a:xfrm>
          <a:off x="6600825" y="1266825"/>
          <a:ext cx="1676400" cy="409575"/>
        </a:xfrm>
        <a:prstGeom prst="wedgeRoundRectCallout">
          <a:avLst/>
        </a:prstGeom>
        <a:solidFill>
          <a:srgbClr val="FFC000"/>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en-PK" sz="1100"/>
        </a:p>
      </xdr:txBody>
    </xdr:sp>
    <xdr:clientData/>
  </xdr:twoCellAnchor>
  <mc:AlternateContent xmlns:mc="http://schemas.openxmlformats.org/markup-compatibility/2006">
    <mc:Choice xmlns:a14="http://schemas.microsoft.com/office/drawing/2010/main" Requires="a14">
      <xdr:twoCellAnchor editAs="oneCell">
        <xdr:from>
          <xdr:col>3</xdr:col>
          <xdr:colOff>485775</xdr:colOff>
          <xdr:row>2</xdr:row>
          <xdr:rowOff>514350</xdr:rowOff>
        </xdr:from>
        <xdr:to>
          <xdr:col>4</xdr:col>
          <xdr:colOff>657225</xdr:colOff>
          <xdr:row>2</xdr:row>
          <xdr:rowOff>781050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K"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314325</xdr:colOff>
          <xdr:row>2</xdr:row>
          <xdr:rowOff>523875</xdr:rowOff>
        </xdr:from>
        <xdr:to>
          <xdr:col>7</xdr:col>
          <xdr:colOff>561975</xdr:colOff>
          <xdr:row>2</xdr:row>
          <xdr:rowOff>828675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K"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523875</xdr:colOff>
          <xdr:row>2</xdr:row>
          <xdr:rowOff>533400</xdr:rowOff>
        </xdr:from>
        <xdr:to>
          <xdr:col>10</xdr:col>
          <xdr:colOff>685800</xdr:colOff>
          <xdr:row>2</xdr:row>
          <xdr:rowOff>790575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K"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htar Khizar" refreshedDate="45851.897138541666" createdVersion="8" refreshedVersion="8" minRefreshableVersion="3" recordCount="50" xr:uid="{5DFE026F-F802-4D46-8060-DFD216B05EFC}">
  <cacheSource type="worksheet">
    <worksheetSource ref="A1:L51" sheet="Sheet1"/>
  </cacheSource>
  <cacheFields count="12">
    <cacheField name="Emp Code" numFmtId="0">
      <sharedItems/>
    </cacheField>
    <cacheField name="Name" numFmtId="0">
      <sharedItems count="50">
        <s v="Taha"/>
        <s v="Bilal"/>
        <s v="Ahmed"/>
        <s v="Iqra"/>
        <s v="Sana"/>
        <s v="Zeeshan"/>
        <s v="Rabia"/>
        <s v="Zainab"/>
        <s v="Junaid"/>
        <s v="Usman"/>
        <s v="Komal"/>
        <s v="Mehwish"/>
        <s v="Ayesha"/>
        <s v="Fariha"/>
        <s v="Hafsa"/>
        <s v="Hina"/>
        <s v="Waqar"/>
        <s v="Rizwan"/>
        <s v="Owais"/>
        <s v="Noman"/>
        <s v="Adeel"/>
        <s v="Imran"/>
        <s v="Farhan"/>
        <s v="Shahid"/>
        <s v="Akhtar"/>
        <s v="Farah"/>
        <s v="Shakeel"/>
        <s v="Beenish"/>
        <s v="Kashif"/>
        <s v="Mariam"/>
        <s v="Ali"/>
        <s v="Neha"/>
        <s v="Jawad"/>
        <s v="Tariq"/>
        <s v="Salman"/>
        <s v="Hira"/>
        <s v="Hassan"/>
        <s v="Saad"/>
        <s v="Noor"/>
        <s v="Yasir"/>
        <s v="Asad"/>
        <s v="Anum"/>
        <s v="Hamza"/>
        <s v="Danish"/>
        <s v="Sahar"/>
        <s v="Fatima"/>
        <s v="Nadia"/>
        <s v="Maryam"/>
        <s v="Lubna"/>
        <s v="Saba"/>
      </sharedItems>
    </cacheField>
    <cacheField name="Region" numFmtId="0">
      <sharedItems count="5">
        <s v="Peshawar"/>
        <s v="Karachi"/>
        <s v="Faisalabad"/>
        <s v="Islamabad"/>
        <s v="Lahore"/>
      </sharedItems>
    </cacheField>
    <cacheField name="Day1" numFmtId="0">
      <sharedItems containsSemiMixedTypes="0" containsString="0" containsNumber="1" containsInteger="1" minValue="1064" maxValue="4993"/>
    </cacheField>
    <cacheField name="Day2" numFmtId="0">
      <sharedItems containsSemiMixedTypes="0" containsString="0" containsNumber="1" containsInteger="1" minValue="1337" maxValue="4928"/>
    </cacheField>
    <cacheField name="Day3" numFmtId="0">
      <sharedItems containsSemiMixedTypes="0" containsString="0" containsNumber="1" containsInteger="1" minValue="1330" maxValue="4910"/>
    </cacheField>
    <cacheField name="Day4" numFmtId="0">
      <sharedItems containsSemiMixedTypes="0" containsString="0" containsNumber="1" containsInteger="1" minValue="1095" maxValue="4934"/>
    </cacheField>
    <cacheField name="Day5" numFmtId="0">
      <sharedItems containsSemiMixedTypes="0" containsString="0" containsNumber="1" containsInteger="1" minValue="1021" maxValue="4943"/>
    </cacheField>
    <cacheField name="Total Sales" numFmtId="0">
      <sharedItems containsSemiMixedTypes="0" containsString="0" containsNumber="1" containsInteger="1" minValue="10651" maxValue="18695"/>
    </cacheField>
    <cacheField name="Target" numFmtId="0">
      <sharedItems containsSemiMixedTypes="0" containsString="0" containsNumber="1" containsInteger="1" minValue="20197" maxValue="29925"/>
    </cacheField>
    <cacheField name="Target Hit %" numFmtId="0">
      <sharedItems containsSemiMixedTypes="0" containsString="0" containsNumber="1" minValue="36.85" maxValue="84.08"/>
    </cacheField>
    <cacheField name="Away From Target %" numFmtId="0">
      <sharedItems containsSemiMixedTypes="0" containsString="0" containsNumber="1" minValue="15.92" maxValue="63.15"/>
    </cacheField>
  </cacheFields>
  <extLst>
    <ext xmlns:x14="http://schemas.microsoft.com/office/spreadsheetml/2009/9/main" uri="{725AE2AE-9491-48be-B2B4-4EB974FC3084}">
      <x14:pivotCacheDefinition pivotCacheId="58789253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EMP001"/>
    <x v="0"/>
    <x v="0"/>
    <n v="4174"/>
    <n v="4507"/>
    <n v="1860"/>
    <n v="2294"/>
    <n v="2130"/>
    <n v="14965"/>
    <n v="29474"/>
    <n v="50.77"/>
    <n v="49.23"/>
  </r>
  <r>
    <s v="EMP002"/>
    <x v="1"/>
    <x v="1"/>
    <n v="2095"/>
    <n v="4772"/>
    <n v="4092"/>
    <n v="2638"/>
    <n v="3169"/>
    <n v="16766"/>
    <n v="27526"/>
    <n v="60.91"/>
    <n v="39.090000000000003"/>
  </r>
  <r>
    <s v="EMP003"/>
    <x v="2"/>
    <x v="2"/>
    <n v="1466"/>
    <n v="2238"/>
    <n v="1330"/>
    <n v="2482"/>
    <n v="3135"/>
    <n v="10651"/>
    <n v="28901"/>
    <n v="36.85"/>
    <n v="63.15"/>
  </r>
  <r>
    <s v="EMP004"/>
    <x v="3"/>
    <x v="0"/>
    <n v="4444"/>
    <n v="4171"/>
    <n v="3919"/>
    <n v="4735"/>
    <n v="1130"/>
    <n v="18399"/>
    <n v="25575"/>
    <n v="71.94"/>
    <n v="28.06"/>
  </r>
  <r>
    <s v="EMP005"/>
    <x v="4"/>
    <x v="3"/>
    <n v="2685"/>
    <n v="4380"/>
    <n v="1769"/>
    <n v="3391"/>
    <n v="2515"/>
    <n v="14740"/>
    <n v="25530"/>
    <n v="57.74"/>
    <n v="42.26"/>
  </r>
  <r>
    <s v="EMP006"/>
    <x v="5"/>
    <x v="0"/>
    <n v="4485"/>
    <n v="3853"/>
    <n v="3433"/>
    <n v="2215"/>
    <n v="1955"/>
    <n v="15941"/>
    <n v="24413"/>
    <n v="65.3"/>
    <n v="34.700000000000003"/>
  </r>
  <r>
    <s v="EMP007"/>
    <x v="6"/>
    <x v="2"/>
    <n v="3324"/>
    <n v="2184"/>
    <n v="1459"/>
    <n v="4385"/>
    <n v="1021"/>
    <n v="12373"/>
    <n v="23748"/>
    <n v="52.1"/>
    <n v="47.9"/>
  </r>
  <r>
    <s v="EMP008"/>
    <x v="7"/>
    <x v="3"/>
    <n v="3300"/>
    <n v="1747"/>
    <n v="3904"/>
    <n v="4632"/>
    <n v="1474"/>
    <n v="15057"/>
    <n v="20663"/>
    <n v="72.87"/>
    <n v="27.13"/>
  </r>
  <r>
    <s v="EMP009"/>
    <x v="8"/>
    <x v="4"/>
    <n v="2082"/>
    <n v="3558"/>
    <n v="4753"/>
    <n v="3047"/>
    <n v="4547"/>
    <n v="17987"/>
    <n v="21998"/>
    <n v="81.77"/>
    <n v="18.23"/>
  </r>
  <r>
    <s v="EMP010"/>
    <x v="9"/>
    <x v="1"/>
    <n v="3747"/>
    <n v="1975"/>
    <n v="2806"/>
    <n v="1189"/>
    <n v="4005"/>
    <n v="13722"/>
    <n v="27994"/>
    <n v="49.02"/>
    <n v="50.98"/>
  </r>
  <r>
    <s v="EMP011"/>
    <x v="10"/>
    <x v="1"/>
    <n v="3734"/>
    <n v="4005"/>
    <n v="1562"/>
    <n v="2899"/>
    <n v="4638"/>
    <n v="16838"/>
    <n v="21495"/>
    <n v="78.33"/>
    <n v="21.67"/>
  </r>
  <r>
    <s v="EMP012"/>
    <x v="11"/>
    <x v="4"/>
    <n v="2267"/>
    <n v="3879"/>
    <n v="2528"/>
    <n v="4202"/>
    <n v="4556"/>
    <n v="17432"/>
    <n v="23304"/>
    <n v="74.8"/>
    <n v="25.2"/>
  </r>
  <r>
    <s v="EMP013"/>
    <x v="12"/>
    <x v="1"/>
    <n v="4890"/>
    <n v="1646"/>
    <n v="3068"/>
    <n v="3888"/>
    <n v="3214"/>
    <n v="16706"/>
    <n v="23763"/>
    <n v="70.3"/>
    <n v="29.7"/>
  </r>
  <r>
    <s v="EMP014"/>
    <x v="13"/>
    <x v="4"/>
    <n v="2297"/>
    <n v="3435"/>
    <n v="1600"/>
    <n v="3363"/>
    <n v="3061"/>
    <n v="13756"/>
    <n v="25232"/>
    <n v="54.52"/>
    <n v="45.48"/>
  </r>
  <r>
    <s v="EMP015"/>
    <x v="14"/>
    <x v="1"/>
    <n v="1241"/>
    <n v="3041"/>
    <n v="3824"/>
    <n v="4417"/>
    <n v="3612"/>
    <n v="16135"/>
    <n v="21853"/>
    <n v="73.83"/>
    <n v="26.17"/>
  </r>
  <r>
    <s v="EMP016"/>
    <x v="15"/>
    <x v="3"/>
    <n v="3945"/>
    <n v="2363"/>
    <n v="3139"/>
    <n v="2390"/>
    <n v="4003"/>
    <n v="15840"/>
    <n v="26585"/>
    <n v="59.58"/>
    <n v="40.42"/>
  </r>
  <r>
    <s v="EMP017"/>
    <x v="16"/>
    <x v="1"/>
    <n v="2478"/>
    <n v="4499"/>
    <n v="3556"/>
    <n v="1775"/>
    <n v="1034"/>
    <n v="13342"/>
    <n v="21291"/>
    <n v="62.66"/>
    <n v="37.340000000000003"/>
  </r>
  <r>
    <s v="EMP018"/>
    <x v="17"/>
    <x v="1"/>
    <n v="3253"/>
    <n v="4152"/>
    <n v="2955"/>
    <n v="2585"/>
    <n v="4943"/>
    <n v="17888"/>
    <n v="23581"/>
    <n v="75.86"/>
    <n v="24.14"/>
  </r>
  <r>
    <s v="EMP019"/>
    <x v="18"/>
    <x v="1"/>
    <n v="4459"/>
    <n v="4073"/>
    <n v="2021"/>
    <n v="4461"/>
    <n v="3613"/>
    <n v="18627"/>
    <n v="27554"/>
    <n v="67.599999999999994"/>
    <n v="32.4"/>
  </r>
  <r>
    <s v="EMP020"/>
    <x v="19"/>
    <x v="1"/>
    <n v="2129"/>
    <n v="4843"/>
    <n v="4893"/>
    <n v="2500"/>
    <n v="1702"/>
    <n v="16067"/>
    <n v="27280"/>
    <n v="58.9"/>
    <n v="41.1"/>
  </r>
  <r>
    <s v="EMP021"/>
    <x v="20"/>
    <x v="0"/>
    <n v="3449"/>
    <n v="3777"/>
    <n v="2579"/>
    <n v="1161"/>
    <n v="1201"/>
    <n v="12167"/>
    <n v="21636"/>
    <n v="56.23"/>
    <n v="43.77"/>
  </r>
  <r>
    <s v="EMP022"/>
    <x v="21"/>
    <x v="3"/>
    <n v="2981"/>
    <n v="1995"/>
    <n v="3317"/>
    <n v="4934"/>
    <n v="1815"/>
    <n v="15042"/>
    <n v="23696"/>
    <n v="63.48"/>
    <n v="36.520000000000003"/>
  </r>
  <r>
    <s v="EMP023"/>
    <x v="22"/>
    <x v="3"/>
    <n v="4342"/>
    <n v="1455"/>
    <n v="4533"/>
    <n v="4798"/>
    <n v="2275"/>
    <n v="17403"/>
    <n v="20698"/>
    <n v="84.08"/>
    <n v="15.92"/>
  </r>
  <r>
    <s v="EMP024"/>
    <x v="23"/>
    <x v="4"/>
    <n v="2016"/>
    <n v="4773"/>
    <n v="3343"/>
    <n v="4796"/>
    <n v="3767"/>
    <n v="18695"/>
    <n v="24737"/>
    <n v="75.58"/>
    <n v="24.42"/>
  </r>
  <r>
    <s v="EMP025"/>
    <x v="24"/>
    <x v="3"/>
    <n v="4820"/>
    <n v="1337"/>
    <n v="1878"/>
    <n v="2076"/>
    <n v="1791"/>
    <n v="11902"/>
    <n v="20854"/>
    <n v="57.07"/>
    <n v="42.93"/>
  </r>
  <r>
    <s v="EMP026"/>
    <x v="25"/>
    <x v="4"/>
    <n v="4993"/>
    <n v="3264"/>
    <n v="1763"/>
    <n v="3235"/>
    <n v="1379"/>
    <n v="14634"/>
    <n v="28164"/>
    <n v="51.96"/>
    <n v="48.04"/>
  </r>
  <r>
    <s v="EMP027"/>
    <x v="26"/>
    <x v="1"/>
    <n v="1492"/>
    <n v="4112"/>
    <n v="2180"/>
    <n v="3062"/>
    <n v="4884"/>
    <n v="15730"/>
    <n v="25855"/>
    <n v="60.84"/>
    <n v="39.159999999999997"/>
  </r>
  <r>
    <s v="EMP028"/>
    <x v="27"/>
    <x v="0"/>
    <n v="1064"/>
    <n v="4928"/>
    <n v="4910"/>
    <n v="3568"/>
    <n v="2367"/>
    <n v="16837"/>
    <n v="27392"/>
    <n v="61.47"/>
    <n v="38.53"/>
  </r>
  <r>
    <s v="EMP029"/>
    <x v="28"/>
    <x v="3"/>
    <n v="2152"/>
    <n v="3027"/>
    <n v="3695"/>
    <n v="2495"/>
    <n v="4134"/>
    <n v="15503"/>
    <n v="26528"/>
    <n v="58.44"/>
    <n v="41.56"/>
  </r>
  <r>
    <s v="EMP030"/>
    <x v="29"/>
    <x v="2"/>
    <n v="2162"/>
    <n v="2522"/>
    <n v="3640"/>
    <n v="1391"/>
    <n v="2698"/>
    <n v="12413"/>
    <n v="25249"/>
    <n v="49.16"/>
    <n v="50.84"/>
  </r>
  <r>
    <s v="EMP031"/>
    <x v="30"/>
    <x v="3"/>
    <n v="1418"/>
    <n v="3336"/>
    <n v="1378"/>
    <n v="2796"/>
    <n v="4561"/>
    <n v="13489"/>
    <n v="25172"/>
    <n v="53.59"/>
    <n v="46.41"/>
  </r>
  <r>
    <s v="EMP032"/>
    <x v="31"/>
    <x v="0"/>
    <n v="3278"/>
    <n v="4065"/>
    <n v="3088"/>
    <n v="4099"/>
    <n v="3182"/>
    <n v="17712"/>
    <n v="21707"/>
    <n v="81.599999999999994"/>
    <n v="18.399999999999999"/>
  </r>
  <r>
    <s v="EMP033"/>
    <x v="32"/>
    <x v="3"/>
    <n v="1200"/>
    <n v="2863"/>
    <n v="1779"/>
    <n v="3977"/>
    <n v="4104"/>
    <n v="13923"/>
    <n v="25791"/>
    <n v="53.98"/>
    <n v="46.02"/>
  </r>
  <r>
    <s v="EMP034"/>
    <x v="33"/>
    <x v="1"/>
    <n v="4119"/>
    <n v="1502"/>
    <n v="3454"/>
    <n v="4645"/>
    <n v="2751"/>
    <n v="16471"/>
    <n v="29925"/>
    <n v="55.04"/>
    <n v="44.96"/>
  </r>
  <r>
    <s v="EMP035"/>
    <x v="34"/>
    <x v="4"/>
    <n v="1804"/>
    <n v="3146"/>
    <n v="3731"/>
    <n v="2895"/>
    <n v="3773"/>
    <n v="15349"/>
    <n v="25535"/>
    <n v="60.11"/>
    <n v="39.89"/>
  </r>
  <r>
    <s v="EMP036"/>
    <x v="35"/>
    <x v="1"/>
    <n v="2570"/>
    <n v="1960"/>
    <n v="4810"/>
    <n v="3660"/>
    <n v="2485"/>
    <n v="15485"/>
    <n v="24931"/>
    <n v="62.11"/>
    <n v="37.89"/>
  </r>
  <r>
    <s v="EMP037"/>
    <x v="36"/>
    <x v="1"/>
    <n v="3690"/>
    <n v="4840"/>
    <n v="2028"/>
    <n v="4289"/>
    <n v="1502"/>
    <n v="16349"/>
    <n v="23510"/>
    <n v="69.540000000000006"/>
    <n v="30.46"/>
  </r>
  <r>
    <s v="EMP038"/>
    <x v="37"/>
    <x v="1"/>
    <n v="3814"/>
    <n v="1397"/>
    <n v="1870"/>
    <n v="3842"/>
    <n v="1392"/>
    <n v="12315"/>
    <n v="20202"/>
    <n v="60.96"/>
    <n v="39.04"/>
  </r>
  <r>
    <s v="EMP039"/>
    <x v="38"/>
    <x v="0"/>
    <n v="1206"/>
    <n v="2038"/>
    <n v="2881"/>
    <n v="4625"/>
    <n v="3939"/>
    <n v="14689"/>
    <n v="24218"/>
    <n v="60.65"/>
    <n v="39.35"/>
  </r>
  <r>
    <s v="EMP040"/>
    <x v="39"/>
    <x v="0"/>
    <n v="2484"/>
    <n v="4762"/>
    <n v="4646"/>
    <n v="1863"/>
    <n v="3790"/>
    <n v="17545"/>
    <n v="28958"/>
    <n v="60.59"/>
    <n v="39.409999999999997"/>
  </r>
  <r>
    <s v="EMP041"/>
    <x v="40"/>
    <x v="1"/>
    <n v="4312"/>
    <n v="1563"/>
    <n v="2020"/>
    <n v="1095"/>
    <n v="2923"/>
    <n v="11913"/>
    <n v="24389"/>
    <n v="48.85"/>
    <n v="51.15"/>
  </r>
  <r>
    <s v="EMP042"/>
    <x v="41"/>
    <x v="3"/>
    <n v="2757"/>
    <n v="3532"/>
    <n v="4478"/>
    <n v="3278"/>
    <n v="3796"/>
    <n v="17841"/>
    <n v="22327"/>
    <n v="79.91"/>
    <n v="20.09"/>
  </r>
  <r>
    <s v="EMP043"/>
    <x v="42"/>
    <x v="1"/>
    <n v="2678"/>
    <n v="4242"/>
    <n v="1540"/>
    <n v="2059"/>
    <n v="3572"/>
    <n v="14091"/>
    <n v="28004"/>
    <n v="50.32"/>
    <n v="49.68"/>
  </r>
  <r>
    <s v="EMP044"/>
    <x v="43"/>
    <x v="0"/>
    <n v="2183"/>
    <n v="4910"/>
    <n v="2722"/>
    <n v="4314"/>
    <n v="4157"/>
    <n v="18286"/>
    <n v="22931"/>
    <n v="79.739999999999995"/>
    <n v="20.260000000000002"/>
  </r>
  <r>
    <s v="EMP045"/>
    <x v="44"/>
    <x v="2"/>
    <n v="2819"/>
    <n v="3625"/>
    <n v="3729"/>
    <n v="3604"/>
    <n v="2597"/>
    <n v="16374"/>
    <n v="27777"/>
    <n v="58.95"/>
    <n v="41.05"/>
  </r>
  <r>
    <s v="EMP046"/>
    <x v="45"/>
    <x v="1"/>
    <n v="4060"/>
    <n v="3693"/>
    <n v="1795"/>
    <n v="2051"/>
    <n v="2643"/>
    <n v="14242"/>
    <n v="20197"/>
    <n v="70.52"/>
    <n v="29.48"/>
  </r>
  <r>
    <s v="EMP047"/>
    <x v="46"/>
    <x v="1"/>
    <n v="4627"/>
    <n v="2363"/>
    <n v="4869"/>
    <n v="2981"/>
    <n v="2354"/>
    <n v="17194"/>
    <n v="27125"/>
    <n v="63.39"/>
    <n v="36.61"/>
  </r>
  <r>
    <s v="EMP048"/>
    <x v="47"/>
    <x v="2"/>
    <n v="2663"/>
    <n v="2529"/>
    <n v="3038"/>
    <n v="4419"/>
    <n v="2496"/>
    <n v="15145"/>
    <n v="21930"/>
    <n v="69.06"/>
    <n v="30.94"/>
  </r>
  <r>
    <s v="EMP049"/>
    <x v="48"/>
    <x v="1"/>
    <n v="4302"/>
    <n v="3237"/>
    <n v="4296"/>
    <n v="2408"/>
    <n v="2400"/>
    <n v="16643"/>
    <n v="26287"/>
    <n v="63.31"/>
    <n v="36.69"/>
  </r>
  <r>
    <s v="EMP050"/>
    <x v="49"/>
    <x v="2"/>
    <n v="2306"/>
    <n v="3680"/>
    <n v="3675"/>
    <n v="1972"/>
    <n v="2768"/>
    <n v="14401"/>
    <n v="28800"/>
    <n v="50"/>
    <n v="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FF18D7A-1C41-4ED1-A940-E56869E86D32}" name="PivotTable4"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4:K9" firstHeaderRow="1" firstDataRow="1" firstDataCol="1"/>
  <pivotFields count="12">
    <pivotField showAll="0"/>
    <pivotField axis="axisRow" showAll="0" measureFilter="1">
      <items count="51">
        <item x="20"/>
        <item x="2"/>
        <item x="24"/>
        <item x="30"/>
        <item x="41"/>
        <item x="40"/>
        <item x="12"/>
        <item x="27"/>
        <item x="1"/>
        <item x="43"/>
        <item x="25"/>
        <item x="22"/>
        <item x="13"/>
        <item x="45"/>
        <item x="14"/>
        <item x="42"/>
        <item x="36"/>
        <item x="15"/>
        <item x="35"/>
        <item x="21"/>
        <item x="3"/>
        <item x="32"/>
        <item x="8"/>
        <item x="28"/>
        <item x="10"/>
        <item x="48"/>
        <item x="29"/>
        <item x="47"/>
        <item x="11"/>
        <item x="46"/>
        <item x="31"/>
        <item x="19"/>
        <item x="38"/>
        <item x="18"/>
        <item x="6"/>
        <item x="17"/>
        <item x="37"/>
        <item x="49"/>
        <item x="44"/>
        <item x="34"/>
        <item x="4"/>
        <item x="23"/>
        <item x="26"/>
        <item x="0"/>
        <item x="33"/>
        <item x="9"/>
        <item x="16"/>
        <item x="39"/>
        <item x="7"/>
        <item x="5"/>
        <item t="default"/>
      </items>
    </pivotField>
    <pivotField showAll="0">
      <items count="6">
        <item h="1" x="2"/>
        <item h="1" x="3"/>
        <item x="1"/>
        <item h="1" x="4"/>
        <item h="1" x="0"/>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1"/>
    </i>
    <i>
      <x v="5"/>
    </i>
    <i>
      <x v="26"/>
    </i>
    <i>
      <x v="37"/>
    </i>
    <i>
      <x v="45"/>
    </i>
  </rowItems>
  <colItems count="1">
    <i/>
  </colItems>
  <dataFields count="1">
    <dataField name="Away From Target %    " fld="11" baseField="1" baseItem="2"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B44ECB0-73C9-4768-9BBD-FC33915B1131}" name="PivotTable3"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4:H9" firstHeaderRow="1" firstDataRow="1" firstDataCol="1"/>
  <pivotFields count="12">
    <pivotField showAll="0"/>
    <pivotField axis="axisRow" showAll="0" measureFilter="1">
      <items count="51">
        <item x="20"/>
        <item x="2"/>
        <item x="24"/>
        <item x="30"/>
        <item x="41"/>
        <item x="40"/>
        <item x="12"/>
        <item x="27"/>
        <item x="1"/>
        <item x="43"/>
        <item x="25"/>
        <item x="22"/>
        <item x="13"/>
        <item x="45"/>
        <item x="14"/>
        <item x="42"/>
        <item x="36"/>
        <item x="15"/>
        <item x="35"/>
        <item x="21"/>
        <item x="3"/>
        <item x="32"/>
        <item x="8"/>
        <item x="28"/>
        <item x="10"/>
        <item x="48"/>
        <item x="29"/>
        <item x="47"/>
        <item x="11"/>
        <item x="46"/>
        <item x="31"/>
        <item x="19"/>
        <item x="38"/>
        <item x="18"/>
        <item x="6"/>
        <item x="17"/>
        <item x="37"/>
        <item x="49"/>
        <item x="44"/>
        <item x="34"/>
        <item x="4"/>
        <item x="23"/>
        <item x="26"/>
        <item x="0"/>
        <item x="33"/>
        <item x="9"/>
        <item x="16"/>
        <item x="39"/>
        <item x="7"/>
        <item x="5"/>
        <item t="default"/>
      </items>
    </pivotField>
    <pivotField showAll="0">
      <items count="6">
        <item h="1" x="2"/>
        <item h="1" x="3"/>
        <item x="1"/>
        <item h="1" x="4"/>
        <item h="1" x="0"/>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6"/>
    </i>
    <i>
      <x v="13"/>
    </i>
    <i>
      <x v="14"/>
    </i>
    <i>
      <x v="24"/>
    </i>
    <i>
      <x v="35"/>
    </i>
  </rowItems>
  <colItems count="1">
    <i/>
  </colItems>
  <dataFields count="1">
    <dataField name="Target Hit %   " fld="10" baseField="1" baseItem="4"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70B07BC-98E4-4C9F-90B4-3EFAE70279FF}" name="PivotTable2"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4:E9" firstHeaderRow="1" firstDataRow="1" firstDataCol="1"/>
  <pivotFields count="12">
    <pivotField showAll="0"/>
    <pivotField axis="axisRow" showAll="0" measureFilter="1">
      <items count="51">
        <item x="20"/>
        <item x="2"/>
        <item x="24"/>
        <item x="30"/>
        <item x="41"/>
        <item x="40"/>
        <item x="12"/>
        <item x="27"/>
        <item x="1"/>
        <item x="43"/>
        <item x="25"/>
        <item x="22"/>
        <item x="13"/>
        <item x="45"/>
        <item x="14"/>
        <item x="42"/>
        <item x="36"/>
        <item x="15"/>
        <item x="35"/>
        <item x="21"/>
        <item x="3"/>
        <item x="32"/>
        <item x="8"/>
        <item x="28"/>
        <item x="10"/>
        <item x="48"/>
        <item x="29"/>
        <item x="47"/>
        <item x="11"/>
        <item x="46"/>
        <item x="31"/>
        <item x="19"/>
        <item x="38"/>
        <item x="18"/>
        <item x="6"/>
        <item x="17"/>
        <item x="37"/>
        <item x="49"/>
        <item x="44"/>
        <item x="34"/>
        <item x="4"/>
        <item x="23"/>
        <item x="26"/>
        <item x="0"/>
        <item x="33"/>
        <item x="9"/>
        <item x="16"/>
        <item x="39"/>
        <item x="7"/>
        <item x="5"/>
        <item t="default"/>
      </items>
    </pivotField>
    <pivotField showAll="0">
      <items count="6">
        <item h="1" x="2"/>
        <item h="1" x="3"/>
        <item x="1"/>
        <item h="1" x="4"/>
        <item h="1" x="0"/>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5"/>
    </i>
    <i>
      <x v="15"/>
    </i>
    <i>
      <x v="36"/>
    </i>
    <i>
      <x v="45"/>
    </i>
    <i>
      <x v="46"/>
    </i>
  </rowItems>
  <colItems count="1">
    <i/>
  </colItems>
  <dataFields count="1">
    <dataField name="Total Sales   " fld="8" baseField="1" baseItem="0"/>
  </dataFields>
  <pivotTableStyleInfo name="PivotStyleDark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749E516-0F09-4CBA-A6FC-D501B4508CDB}" name="PivotTable1"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4:B9" firstHeaderRow="1" firstDataRow="1" firstDataCol="1"/>
  <pivotFields count="12">
    <pivotField showAll="0"/>
    <pivotField axis="axisRow" showAll="0" measureFilter="1">
      <items count="51">
        <item x="20"/>
        <item x="2"/>
        <item x="24"/>
        <item x="30"/>
        <item x="41"/>
        <item x="40"/>
        <item x="12"/>
        <item x="27"/>
        <item x="1"/>
        <item x="43"/>
        <item x="25"/>
        <item x="22"/>
        <item x="13"/>
        <item x="45"/>
        <item x="14"/>
        <item x="42"/>
        <item x="36"/>
        <item x="15"/>
        <item x="35"/>
        <item x="21"/>
        <item x="3"/>
        <item x="32"/>
        <item x="8"/>
        <item x="28"/>
        <item x="10"/>
        <item x="48"/>
        <item x="29"/>
        <item x="47"/>
        <item x="11"/>
        <item x="46"/>
        <item x="31"/>
        <item x="19"/>
        <item x="38"/>
        <item x="18"/>
        <item x="6"/>
        <item x="17"/>
        <item x="37"/>
        <item x="49"/>
        <item x="44"/>
        <item x="34"/>
        <item x="4"/>
        <item x="23"/>
        <item x="26"/>
        <item x="0"/>
        <item x="33"/>
        <item x="9"/>
        <item x="16"/>
        <item x="39"/>
        <item x="7"/>
        <item x="5"/>
        <item t="default"/>
      </items>
    </pivotField>
    <pivotField showAll="0">
      <items count="6">
        <item h="1" x="2"/>
        <item h="1" x="3"/>
        <item x="1"/>
        <item h="1" x="4"/>
        <item h="1" x="0"/>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8"/>
    </i>
    <i>
      <x v="24"/>
    </i>
    <i>
      <x v="29"/>
    </i>
    <i>
      <x v="33"/>
    </i>
    <i>
      <x v="35"/>
    </i>
  </rowItems>
  <colItems count="1">
    <i/>
  </colItems>
  <dataFields count="1">
    <dataField name=" Total Sales   " fld="8" baseField="1" baseItem="9"/>
  </dataField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C59333C-4349-4322-8ACC-DC9386B7CA8A}" sourceName="Region">
  <pivotTables>
    <pivotTable tabId="2" name="PivotTable2"/>
    <pivotTable tabId="2" name="PivotTable3"/>
    <pivotTable tabId="2" name="PivotTable1"/>
  </pivotTables>
  <data>
    <tabular pivotCacheId="587892531">
      <items count="5">
        <i x="2"/>
        <i x="3"/>
        <i x="1" s="1"/>
        <i x="4"/>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5F665DC-6D04-4948-A3A9-A67E132409FA}" cache="Slicer_Region" caption="Region" columnCount="5" showCaption="0" style="Slicer Style 1" rowHeight="24130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51F08-AFF8-4E0E-8666-C1FEFBA5104A}">
  <sheetPr codeName="Sheet1"/>
  <dimension ref="A1:K24"/>
  <sheetViews>
    <sheetView showGridLines="0" showRowColHeaders="0" tabSelected="1" workbookViewId="0">
      <selection activeCell="O3" sqref="O3"/>
    </sheetView>
  </sheetViews>
  <sheetFormatPr defaultRowHeight="15" x14ac:dyDescent="0.25"/>
  <cols>
    <col min="1" max="1" width="17" customWidth="1"/>
    <col min="2" max="2" width="11.42578125" customWidth="1"/>
    <col min="3" max="3" width="0.5703125" customWidth="1"/>
    <col min="4" max="4" width="18" customWidth="1"/>
    <col min="5" max="5" width="11" customWidth="1"/>
    <col min="6" max="6" width="0.85546875" customWidth="1"/>
    <col min="7" max="7" width="18.28515625" customWidth="1"/>
    <col min="8" max="8" width="15.5703125" customWidth="1"/>
    <col min="9" max="9" width="0.7109375" customWidth="1"/>
    <col min="10" max="10" width="18.140625" customWidth="1"/>
    <col min="11" max="11" width="19.5703125" customWidth="1"/>
  </cols>
  <sheetData>
    <row r="1" spans="1:11" ht="70.5" customHeight="1" x14ac:dyDescent="0.25">
      <c r="A1" s="9" t="s">
        <v>125</v>
      </c>
      <c r="B1" s="10"/>
      <c r="C1" s="10"/>
      <c r="D1" s="10"/>
      <c r="E1" s="10"/>
      <c r="F1" s="10"/>
      <c r="G1" s="10"/>
      <c r="H1" s="10"/>
      <c r="I1" s="10"/>
      <c r="J1" s="10"/>
      <c r="K1" s="10"/>
    </row>
    <row r="2" spans="1:11" ht="66" customHeight="1" x14ac:dyDescent="0.25">
      <c r="A2" s="8" t="b">
        <v>1</v>
      </c>
      <c r="B2" s="8"/>
      <c r="C2" s="8"/>
      <c r="D2" s="8" t="b">
        <v>1</v>
      </c>
      <c r="E2" s="8"/>
      <c r="F2" s="8"/>
      <c r="G2" s="8" t="b">
        <v>1</v>
      </c>
      <c r="H2" s="8"/>
      <c r="I2" s="8"/>
      <c r="J2" s="8" t="b">
        <v>0</v>
      </c>
      <c r="K2" s="8"/>
    </row>
    <row r="3" spans="1:11" ht="73.5" customHeight="1" x14ac:dyDescent="0.25">
      <c r="A3" s="6"/>
      <c r="B3" s="6"/>
      <c r="C3" s="6"/>
      <c r="D3" s="6"/>
      <c r="E3" s="6"/>
      <c r="F3" s="6"/>
      <c r="G3" s="6"/>
      <c r="H3" s="6"/>
      <c r="I3" s="6"/>
      <c r="J3" s="6"/>
      <c r="K3" s="6"/>
    </row>
    <row r="4" spans="1:11" x14ac:dyDescent="0.25">
      <c r="A4" s="2" t="s">
        <v>117</v>
      </c>
      <c r="B4" t="s">
        <v>120</v>
      </c>
      <c r="C4" s="6"/>
      <c r="D4" s="2" t="s">
        <v>117</v>
      </c>
      <c r="E4" t="s">
        <v>121</v>
      </c>
      <c r="F4" s="6"/>
      <c r="G4" s="2" t="s">
        <v>117</v>
      </c>
      <c r="H4" t="s">
        <v>118</v>
      </c>
      <c r="I4" s="6"/>
      <c r="J4" s="2" t="s">
        <v>117</v>
      </c>
      <c r="K4" t="s">
        <v>119</v>
      </c>
    </row>
    <row r="5" spans="1:11" x14ac:dyDescent="0.25">
      <c r="A5" s="3" t="s">
        <v>63</v>
      </c>
      <c r="B5" s="4">
        <v>16766</v>
      </c>
      <c r="C5" s="6"/>
      <c r="D5" s="3" t="s">
        <v>102</v>
      </c>
      <c r="E5" s="4">
        <v>11913</v>
      </c>
      <c r="F5" s="6"/>
      <c r="G5" s="3" t="s">
        <v>74</v>
      </c>
      <c r="H5" s="5">
        <v>70.3</v>
      </c>
      <c r="I5" s="6"/>
      <c r="J5" s="3" t="s">
        <v>64</v>
      </c>
      <c r="K5" s="5">
        <v>63.15</v>
      </c>
    </row>
    <row r="6" spans="1:11" x14ac:dyDescent="0.25">
      <c r="A6" s="3" t="s">
        <v>72</v>
      </c>
      <c r="B6" s="4">
        <v>16838</v>
      </c>
      <c r="C6" s="6"/>
      <c r="D6" s="3" t="s">
        <v>104</v>
      </c>
      <c r="E6" s="4">
        <v>14091</v>
      </c>
      <c r="F6" s="6"/>
      <c r="G6" s="3" t="s">
        <v>107</v>
      </c>
      <c r="H6" s="5">
        <v>70.52</v>
      </c>
      <c r="I6" s="6"/>
      <c r="J6" s="3" t="s">
        <v>102</v>
      </c>
      <c r="K6" s="5">
        <v>51.15</v>
      </c>
    </row>
    <row r="7" spans="1:11" x14ac:dyDescent="0.25">
      <c r="A7" s="3" t="s">
        <v>108</v>
      </c>
      <c r="B7" s="4">
        <v>17194</v>
      </c>
      <c r="C7" s="6"/>
      <c r="D7" s="3" t="s">
        <v>99</v>
      </c>
      <c r="E7" s="4">
        <v>12315</v>
      </c>
      <c r="F7" s="6"/>
      <c r="G7" s="3" t="s">
        <v>76</v>
      </c>
      <c r="H7" s="5">
        <v>73.83</v>
      </c>
      <c r="I7" s="6"/>
      <c r="J7" s="3" t="s">
        <v>91</v>
      </c>
      <c r="K7" s="5">
        <v>50.84</v>
      </c>
    </row>
    <row r="8" spans="1:11" x14ac:dyDescent="0.25">
      <c r="A8" s="3" t="s">
        <v>80</v>
      </c>
      <c r="B8" s="4">
        <v>18627</v>
      </c>
      <c r="C8" s="6"/>
      <c r="D8" s="3" t="s">
        <v>71</v>
      </c>
      <c r="E8" s="4">
        <v>13722</v>
      </c>
      <c r="F8" s="6"/>
      <c r="G8" s="3" t="s">
        <v>72</v>
      </c>
      <c r="H8" s="5">
        <v>78.33</v>
      </c>
      <c r="I8" s="6"/>
      <c r="J8" s="3" t="s">
        <v>111</v>
      </c>
      <c r="K8" s="5">
        <v>50</v>
      </c>
    </row>
    <row r="9" spans="1:11" x14ac:dyDescent="0.25">
      <c r="A9" s="3" t="s">
        <v>79</v>
      </c>
      <c r="B9" s="4">
        <v>17888</v>
      </c>
      <c r="C9" s="6"/>
      <c r="D9" s="3" t="s">
        <v>78</v>
      </c>
      <c r="E9" s="4">
        <v>13342</v>
      </c>
      <c r="F9" s="6"/>
      <c r="G9" s="3" t="s">
        <v>79</v>
      </c>
      <c r="H9" s="5">
        <v>75.86</v>
      </c>
      <c r="I9" s="6"/>
      <c r="J9" s="3" t="s">
        <v>71</v>
      </c>
      <c r="K9" s="5">
        <v>50.98</v>
      </c>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7" t="s">
        <v>122</v>
      </c>
      <c r="C23" s="6"/>
      <c r="D23" s="6"/>
      <c r="E23" s="6"/>
      <c r="F23" s="6"/>
      <c r="G23" s="7" t="s">
        <v>123</v>
      </c>
      <c r="H23" s="6"/>
      <c r="I23" s="6"/>
      <c r="J23" s="7" t="s">
        <v>124</v>
      </c>
      <c r="K23" s="6"/>
    </row>
    <row r="24" spans="1:11" x14ac:dyDescent="0.25">
      <c r="A24" s="6"/>
      <c r="B24" s="6"/>
      <c r="C24" s="6"/>
      <c r="D24" s="6"/>
      <c r="E24" s="6"/>
      <c r="F24" s="6"/>
      <c r="G24" s="6"/>
      <c r="H24" s="6"/>
      <c r="I24" s="6"/>
      <c r="J24" s="6"/>
      <c r="K24" s="6"/>
    </row>
  </sheetData>
  <mergeCells count="1">
    <mergeCell ref="A1:K1"/>
  </mergeCell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361950</xdr:colOff>
                    <xdr:row>2</xdr:row>
                    <xdr:rowOff>514350</xdr:rowOff>
                  </from>
                  <to>
                    <xdr:col>1</xdr:col>
                    <xdr:colOff>695325</xdr:colOff>
                    <xdr:row>2</xdr:row>
                    <xdr:rowOff>781050</xdr:rowOff>
                  </to>
                </anchor>
              </controlPr>
            </control>
          </mc:Choice>
        </mc:AlternateContent>
        <mc:AlternateContent xmlns:mc="http://schemas.openxmlformats.org/markup-compatibility/2006">
          <mc:Choice Requires="x14">
            <control shapeId="1026" r:id="rId9" name="Check Box 2">
              <controlPr defaultSize="0" autoFill="0" autoLine="0" autoPict="0" macro="[0]!SlicerConnection">
                <anchor moveWithCells="1">
                  <from>
                    <xdr:col>3</xdr:col>
                    <xdr:colOff>485775</xdr:colOff>
                    <xdr:row>2</xdr:row>
                    <xdr:rowOff>514350</xdr:rowOff>
                  </from>
                  <to>
                    <xdr:col>4</xdr:col>
                    <xdr:colOff>657225</xdr:colOff>
                    <xdr:row>2</xdr:row>
                    <xdr:rowOff>781050</xdr:rowOff>
                  </to>
                </anchor>
              </controlPr>
            </control>
          </mc:Choice>
        </mc:AlternateContent>
        <mc:AlternateContent xmlns:mc="http://schemas.openxmlformats.org/markup-compatibility/2006">
          <mc:Choice Requires="x14">
            <control shapeId="1027" r:id="rId10" name="Check Box 3">
              <controlPr defaultSize="0" autoFill="0" autoLine="0" autoPict="0" macro="[0]!SlicerConnection">
                <anchor moveWithCells="1">
                  <from>
                    <xdr:col>6</xdr:col>
                    <xdr:colOff>314325</xdr:colOff>
                    <xdr:row>2</xdr:row>
                    <xdr:rowOff>523875</xdr:rowOff>
                  </from>
                  <to>
                    <xdr:col>7</xdr:col>
                    <xdr:colOff>561975</xdr:colOff>
                    <xdr:row>2</xdr:row>
                    <xdr:rowOff>828675</xdr:rowOff>
                  </to>
                </anchor>
              </controlPr>
            </control>
          </mc:Choice>
        </mc:AlternateContent>
        <mc:AlternateContent xmlns:mc="http://schemas.openxmlformats.org/markup-compatibility/2006">
          <mc:Choice Requires="x14">
            <control shapeId="1028" r:id="rId11" name="Check Box 4">
              <controlPr defaultSize="0" autoFill="0" autoLine="0" autoPict="0" macro="[0]!SlicerConnection">
                <anchor moveWithCells="1">
                  <from>
                    <xdr:col>9</xdr:col>
                    <xdr:colOff>523875</xdr:colOff>
                    <xdr:row>2</xdr:row>
                    <xdr:rowOff>533400</xdr:rowOff>
                  </from>
                  <to>
                    <xdr:col>10</xdr:col>
                    <xdr:colOff>685800</xdr:colOff>
                    <xdr:row>2</xdr:row>
                    <xdr:rowOff>790575</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51"/>
  <sheetViews>
    <sheetView workbookViewId="0">
      <selection sqref="A1:L51"/>
    </sheetView>
  </sheetViews>
  <sheetFormatPr defaultRowHeight="15" x14ac:dyDescent="0.25"/>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t="s">
        <v>12</v>
      </c>
      <c r="B2" t="s">
        <v>62</v>
      </c>
      <c r="C2" t="s">
        <v>112</v>
      </c>
      <c r="D2">
        <v>4174</v>
      </c>
      <c r="E2">
        <v>4507</v>
      </c>
      <c r="F2">
        <v>1860</v>
      </c>
      <c r="G2">
        <v>2294</v>
      </c>
      <c r="H2">
        <v>2130</v>
      </c>
      <c r="I2">
        <v>14965</v>
      </c>
      <c r="J2">
        <v>29474</v>
      </c>
      <c r="K2">
        <v>50.77</v>
      </c>
      <c r="L2">
        <v>49.23</v>
      </c>
    </row>
    <row r="3" spans="1:12" x14ac:dyDescent="0.25">
      <c r="A3" t="s">
        <v>13</v>
      </c>
      <c r="B3" t="s">
        <v>63</v>
      </c>
      <c r="C3" t="s">
        <v>113</v>
      </c>
      <c r="D3">
        <v>2095</v>
      </c>
      <c r="E3">
        <v>4772</v>
      </c>
      <c r="F3">
        <v>4092</v>
      </c>
      <c r="G3">
        <v>2638</v>
      </c>
      <c r="H3">
        <v>3169</v>
      </c>
      <c r="I3">
        <v>16766</v>
      </c>
      <c r="J3">
        <v>27526</v>
      </c>
      <c r="K3">
        <v>60.91</v>
      </c>
      <c r="L3">
        <v>39.090000000000003</v>
      </c>
    </row>
    <row r="4" spans="1:12" x14ac:dyDescent="0.25">
      <c r="A4" t="s">
        <v>14</v>
      </c>
      <c r="B4" t="s">
        <v>64</v>
      </c>
      <c r="C4" t="s">
        <v>114</v>
      </c>
      <c r="D4">
        <v>1466</v>
      </c>
      <c r="E4">
        <v>2238</v>
      </c>
      <c r="F4">
        <v>1330</v>
      </c>
      <c r="G4">
        <v>2482</v>
      </c>
      <c r="H4">
        <v>3135</v>
      </c>
      <c r="I4">
        <v>10651</v>
      </c>
      <c r="J4">
        <v>28901</v>
      </c>
      <c r="K4">
        <v>36.85</v>
      </c>
      <c r="L4">
        <v>63.15</v>
      </c>
    </row>
    <row r="5" spans="1:12" x14ac:dyDescent="0.25">
      <c r="A5" t="s">
        <v>15</v>
      </c>
      <c r="B5" t="s">
        <v>65</v>
      </c>
      <c r="C5" t="s">
        <v>112</v>
      </c>
      <c r="D5">
        <v>4444</v>
      </c>
      <c r="E5">
        <v>4171</v>
      </c>
      <c r="F5">
        <v>3919</v>
      </c>
      <c r="G5">
        <v>4735</v>
      </c>
      <c r="H5">
        <v>1130</v>
      </c>
      <c r="I5">
        <v>18399</v>
      </c>
      <c r="J5">
        <v>25575</v>
      </c>
      <c r="K5">
        <v>71.94</v>
      </c>
      <c r="L5">
        <v>28.06</v>
      </c>
    </row>
    <row r="6" spans="1:12" x14ac:dyDescent="0.25">
      <c r="A6" t="s">
        <v>16</v>
      </c>
      <c r="B6" t="s">
        <v>66</v>
      </c>
      <c r="C6" t="s">
        <v>115</v>
      </c>
      <c r="D6">
        <v>2685</v>
      </c>
      <c r="E6">
        <v>4380</v>
      </c>
      <c r="F6">
        <v>1769</v>
      </c>
      <c r="G6">
        <v>3391</v>
      </c>
      <c r="H6">
        <v>2515</v>
      </c>
      <c r="I6">
        <v>14740</v>
      </c>
      <c r="J6">
        <v>25530</v>
      </c>
      <c r="K6">
        <v>57.74</v>
      </c>
      <c r="L6">
        <v>42.26</v>
      </c>
    </row>
    <row r="7" spans="1:12" x14ac:dyDescent="0.25">
      <c r="A7" t="s">
        <v>17</v>
      </c>
      <c r="B7" t="s">
        <v>67</v>
      </c>
      <c r="C7" t="s">
        <v>112</v>
      </c>
      <c r="D7">
        <v>4485</v>
      </c>
      <c r="E7">
        <v>3853</v>
      </c>
      <c r="F7">
        <v>3433</v>
      </c>
      <c r="G7">
        <v>2215</v>
      </c>
      <c r="H7">
        <v>1955</v>
      </c>
      <c r="I7">
        <v>15941</v>
      </c>
      <c r="J7">
        <v>24413</v>
      </c>
      <c r="K7">
        <v>65.3</v>
      </c>
      <c r="L7">
        <v>34.700000000000003</v>
      </c>
    </row>
    <row r="8" spans="1:12" x14ac:dyDescent="0.25">
      <c r="A8" t="s">
        <v>18</v>
      </c>
      <c r="B8" t="s">
        <v>68</v>
      </c>
      <c r="C8" t="s">
        <v>114</v>
      </c>
      <c r="D8">
        <v>3324</v>
      </c>
      <c r="E8">
        <v>2184</v>
      </c>
      <c r="F8">
        <v>1459</v>
      </c>
      <c r="G8">
        <v>4385</v>
      </c>
      <c r="H8">
        <v>1021</v>
      </c>
      <c r="I8">
        <v>12373</v>
      </c>
      <c r="J8">
        <v>23748</v>
      </c>
      <c r="K8">
        <v>52.1</v>
      </c>
      <c r="L8">
        <v>47.9</v>
      </c>
    </row>
    <row r="9" spans="1:12" x14ac:dyDescent="0.25">
      <c r="A9" t="s">
        <v>19</v>
      </c>
      <c r="B9" t="s">
        <v>69</v>
      </c>
      <c r="C9" t="s">
        <v>115</v>
      </c>
      <c r="D9">
        <v>3300</v>
      </c>
      <c r="E9">
        <v>1747</v>
      </c>
      <c r="F9">
        <v>3904</v>
      </c>
      <c r="G9">
        <v>4632</v>
      </c>
      <c r="H9">
        <v>1474</v>
      </c>
      <c r="I9">
        <v>15057</v>
      </c>
      <c r="J9">
        <v>20663</v>
      </c>
      <c r="K9">
        <v>72.87</v>
      </c>
      <c r="L9">
        <v>27.13</v>
      </c>
    </row>
    <row r="10" spans="1:12" x14ac:dyDescent="0.25">
      <c r="A10" t="s">
        <v>20</v>
      </c>
      <c r="B10" t="s">
        <v>70</v>
      </c>
      <c r="C10" t="s">
        <v>116</v>
      </c>
      <c r="D10">
        <v>2082</v>
      </c>
      <c r="E10">
        <v>3558</v>
      </c>
      <c r="F10">
        <v>4753</v>
      </c>
      <c r="G10">
        <v>3047</v>
      </c>
      <c r="H10">
        <v>4547</v>
      </c>
      <c r="I10">
        <v>17987</v>
      </c>
      <c r="J10">
        <v>21998</v>
      </c>
      <c r="K10">
        <v>81.77</v>
      </c>
      <c r="L10">
        <v>18.23</v>
      </c>
    </row>
    <row r="11" spans="1:12" x14ac:dyDescent="0.25">
      <c r="A11" t="s">
        <v>21</v>
      </c>
      <c r="B11" t="s">
        <v>71</v>
      </c>
      <c r="C11" t="s">
        <v>113</v>
      </c>
      <c r="D11">
        <v>3747</v>
      </c>
      <c r="E11">
        <v>1975</v>
      </c>
      <c r="F11">
        <v>2806</v>
      </c>
      <c r="G11">
        <v>1189</v>
      </c>
      <c r="H11">
        <v>4005</v>
      </c>
      <c r="I11">
        <v>13722</v>
      </c>
      <c r="J11">
        <v>27994</v>
      </c>
      <c r="K11">
        <v>49.02</v>
      </c>
      <c r="L11">
        <v>50.98</v>
      </c>
    </row>
    <row r="12" spans="1:12" x14ac:dyDescent="0.25">
      <c r="A12" t="s">
        <v>22</v>
      </c>
      <c r="B12" t="s">
        <v>72</v>
      </c>
      <c r="C12" t="s">
        <v>113</v>
      </c>
      <c r="D12">
        <v>3734</v>
      </c>
      <c r="E12">
        <v>4005</v>
      </c>
      <c r="F12">
        <v>1562</v>
      </c>
      <c r="G12">
        <v>2899</v>
      </c>
      <c r="H12">
        <v>4638</v>
      </c>
      <c r="I12">
        <v>16838</v>
      </c>
      <c r="J12">
        <v>21495</v>
      </c>
      <c r="K12">
        <v>78.33</v>
      </c>
      <c r="L12">
        <v>21.67</v>
      </c>
    </row>
    <row r="13" spans="1:12" x14ac:dyDescent="0.25">
      <c r="A13" t="s">
        <v>23</v>
      </c>
      <c r="B13" t="s">
        <v>73</v>
      </c>
      <c r="C13" t="s">
        <v>116</v>
      </c>
      <c r="D13">
        <v>2267</v>
      </c>
      <c r="E13">
        <v>3879</v>
      </c>
      <c r="F13">
        <v>2528</v>
      </c>
      <c r="G13">
        <v>4202</v>
      </c>
      <c r="H13">
        <v>4556</v>
      </c>
      <c r="I13">
        <v>17432</v>
      </c>
      <c r="J13">
        <v>23304</v>
      </c>
      <c r="K13">
        <v>74.8</v>
      </c>
      <c r="L13">
        <v>25.2</v>
      </c>
    </row>
    <row r="14" spans="1:12" x14ac:dyDescent="0.25">
      <c r="A14" t="s">
        <v>24</v>
      </c>
      <c r="B14" t="s">
        <v>74</v>
      </c>
      <c r="C14" t="s">
        <v>113</v>
      </c>
      <c r="D14">
        <v>4890</v>
      </c>
      <c r="E14">
        <v>1646</v>
      </c>
      <c r="F14">
        <v>3068</v>
      </c>
      <c r="G14">
        <v>3888</v>
      </c>
      <c r="H14">
        <v>3214</v>
      </c>
      <c r="I14">
        <v>16706</v>
      </c>
      <c r="J14">
        <v>23763</v>
      </c>
      <c r="K14">
        <v>70.3</v>
      </c>
      <c r="L14">
        <v>29.7</v>
      </c>
    </row>
    <row r="15" spans="1:12" x14ac:dyDescent="0.25">
      <c r="A15" t="s">
        <v>25</v>
      </c>
      <c r="B15" t="s">
        <v>75</v>
      </c>
      <c r="C15" t="s">
        <v>116</v>
      </c>
      <c r="D15">
        <v>2297</v>
      </c>
      <c r="E15">
        <v>3435</v>
      </c>
      <c r="F15">
        <v>1600</v>
      </c>
      <c r="G15">
        <v>3363</v>
      </c>
      <c r="H15">
        <v>3061</v>
      </c>
      <c r="I15">
        <v>13756</v>
      </c>
      <c r="J15">
        <v>25232</v>
      </c>
      <c r="K15">
        <v>54.52</v>
      </c>
      <c r="L15">
        <v>45.48</v>
      </c>
    </row>
    <row r="16" spans="1:12" x14ac:dyDescent="0.25">
      <c r="A16" t="s">
        <v>26</v>
      </c>
      <c r="B16" t="s">
        <v>76</v>
      </c>
      <c r="C16" t="s">
        <v>113</v>
      </c>
      <c r="D16">
        <v>1241</v>
      </c>
      <c r="E16">
        <v>3041</v>
      </c>
      <c r="F16">
        <v>3824</v>
      </c>
      <c r="G16">
        <v>4417</v>
      </c>
      <c r="H16">
        <v>3612</v>
      </c>
      <c r="I16">
        <v>16135</v>
      </c>
      <c r="J16">
        <v>21853</v>
      </c>
      <c r="K16">
        <v>73.83</v>
      </c>
      <c r="L16">
        <v>26.17</v>
      </c>
    </row>
    <row r="17" spans="1:12" x14ac:dyDescent="0.25">
      <c r="A17" t="s">
        <v>27</v>
      </c>
      <c r="B17" t="s">
        <v>77</v>
      </c>
      <c r="C17" t="s">
        <v>115</v>
      </c>
      <c r="D17">
        <v>3945</v>
      </c>
      <c r="E17">
        <v>2363</v>
      </c>
      <c r="F17">
        <v>3139</v>
      </c>
      <c r="G17">
        <v>2390</v>
      </c>
      <c r="H17">
        <v>4003</v>
      </c>
      <c r="I17">
        <v>15840</v>
      </c>
      <c r="J17">
        <v>26585</v>
      </c>
      <c r="K17">
        <v>59.58</v>
      </c>
      <c r="L17">
        <v>40.42</v>
      </c>
    </row>
    <row r="18" spans="1:12" x14ac:dyDescent="0.25">
      <c r="A18" t="s">
        <v>28</v>
      </c>
      <c r="B18" t="s">
        <v>78</v>
      </c>
      <c r="C18" t="s">
        <v>113</v>
      </c>
      <c r="D18">
        <v>2478</v>
      </c>
      <c r="E18">
        <v>4499</v>
      </c>
      <c r="F18">
        <v>3556</v>
      </c>
      <c r="G18">
        <v>1775</v>
      </c>
      <c r="H18">
        <v>1034</v>
      </c>
      <c r="I18">
        <v>13342</v>
      </c>
      <c r="J18">
        <v>21291</v>
      </c>
      <c r="K18">
        <v>62.66</v>
      </c>
      <c r="L18">
        <v>37.340000000000003</v>
      </c>
    </row>
    <row r="19" spans="1:12" x14ac:dyDescent="0.25">
      <c r="A19" t="s">
        <v>29</v>
      </c>
      <c r="B19" t="s">
        <v>79</v>
      </c>
      <c r="C19" t="s">
        <v>113</v>
      </c>
      <c r="D19">
        <v>3253</v>
      </c>
      <c r="E19">
        <v>4152</v>
      </c>
      <c r="F19">
        <v>2955</v>
      </c>
      <c r="G19">
        <v>2585</v>
      </c>
      <c r="H19">
        <v>4943</v>
      </c>
      <c r="I19">
        <v>17888</v>
      </c>
      <c r="J19">
        <v>23581</v>
      </c>
      <c r="K19">
        <v>75.86</v>
      </c>
      <c r="L19">
        <v>24.14</v>
      </c>
    </row>
    <row r="20" spans="1:12" x14ac:dyDescent="0.25">
      <c r="A20" t="s">
        <v>30</v>
      </c>
      <c r="B20" t="s">
        <v>80</v>
      </c>
      <c r="C20" t="s">
        <v>113</v>
      </c>
      <c r="D20">
        <v>4459</v>
      </c>
      <c r="E20">
        <v>4073</v>
      </c>
      <c r="F20">
        <v>2021</v>
      </c>
      <c r="G20">
        <v>4461</v>
      </c>
      <c r="H20">
        <v>3613</v>
      </c>
      <c r="I20">
        <v>18627</v>
      </c>
      <c r="J20">
        <v>27554</v>
      </c>
      <c r="K20">
        <v>67.599999999999994</v>
      </c>
      <c r="L20">
        <v>32.4</v>
      </c>
    </row>
    <row r="21" spans="1:12" x14ac:dyDescent="0.25">
      <c r="A21" t="s">
        <v>31</v>
      </c>
      <c r="B21" t="s">
        <v>81</v>
      </c>
      <c r="C21" t="s">
        <v>113</v>
      </c>
      <c r="D21">
        <v>2129</v>
      </c>
      <c r="E21">
        <v>4843</v>
      </c>
      <c r="F21">
        <v>4893</v>
      </c>
      <c r="G21">
        <v>2500</v>
      </c>
      <c r="H21">
        <v>1702</v>
      </c>
      <c r="I21">
        <v>16067</v>
      </c>
      <c r="J21">
        <v>27280</v>
      </c>
      <c r="K21">
        <v>58.9</v>
      </c>
      <c r="L21">
        <v>41.1</v>
      </c>
    </row>
    <row r="22" spans="1:12" x14ac:dyDescent="0.25">
      <c r="A22" t="s">
        <v>32</v>
      </c>
      <c r="B22" t="s">
        <v>82</v>
      </c>
      <c r="C22" t="s">
        <v>112</v>
      </c>
      <c r="D22">
        <v>3449</v>
      </c>
      <c r="E22">
        <v>3777</v>
      </c>
      <c r="F22">
        <v>2579</v>
      </c>
      <c r="G22">
        <v>1161</v>
      </c>
      <c r="H22">
        <v>1201</v>
      </c>
      <c r="I22">
        <v>12167</v>
      </c>
      <c r="J22">
        <v>21636</v>
      </c>
      <c r="K22">
        <v>56.23</v>
      </c>
      <c r="L22">
        <v>43.77</v>
      </c>
    </row>
    <row r="23" spans="1:12" x14ac:dyDescent="0.25">
      <c r="A23" t="s">
        <v>33</v>
      </c>
      <c r="B23" t="s">
        <v>83</v>
      </c>
      <c r="C23" t="s">
        <v>115</v>
      </c>
      <c r="D23">
        <v>2981</v>
      </c>
      <c r="E23">
        <v>1995</v>
      </c>
      <c r="F23">
        <v>3317</v>
      </c>
      <c r="G23">
        <v>4934</v>
      </c>
      <c r="H23">
        <v>1815</v>
      </c>
      <c r="I23">
        <v>15042</v>
      </c>
      <c r="J23">
        <v>23696</v>
      </c>
      <c r="K23">
        <v>63.48</v>
      </c>
      <c r="L23">
        <v>36.520000000000003</v>
      </c>
    </row>
    <row r="24" spans="1:12" x14ac:dyDescent="0.25">
      <c r="A24" t="s">
        <v>34</v>
      </c>
      <c r="B24" t="s">
        <v>84</v>
      </c>
      <c r="C24" t="s">
        <v>115</v>
      </c>
      <c r="D24">
        <v>4342</v>
      </c>
      <c r="E24">
        <v>1455</v>
      </c>
      <c r="F24">
        <v>4533</v>
      </c>
      <c r="G24">
        <v>4798</v>
      </c>
      <c r="H24">
        <v>2275</v>
      </c>
      <c r="I24">
        <v>17403</v>
      </c>
      <c r="J24">
        <v>20698</v>
      </c>
      <c r="K24">
        <v>84.08</v>
      </c>
      <c r="L24">
        <v>15.92</v>
      </c>
    </row>
    <row r="25" spans="1:12" x14ac:dyDescent="0.25">
      <c r="A25" t="s">
        <v>35</v>
      </c>
      <c r="B25" t="s">
        <v>85</v>
      </c>
      <c r="C25" t="s">
        <v>116</v>
      </c>
      <c r="D25">
        <v>2016</v>
      </c>
      <c r="E25">
        <v>4773</v>
      </c>
      <c r="F25">
        <v>3343</v>
      </c>
      <c r="G25">
        <v>4796</v>
      </c>
      <c r="H25">
        <v>3767</v>
      </c>
      <c r="I25">
        <v>18695</v>
      </c>
      <c r="J25">
        <v>24737</v>
      </c>
      <c r="K25">
        <v>75.58</v>
      </c>
      <c r="L25">
        <v>24.42</v>
      </c>
    </row>
    <row r="26" spans="1:12" x14ac:dyDescent="0.25">
      <c r="A26" t="s">
        <v>36</v>
      </c>
      <c r="B26" t="s">
        <v>86</v>
      </c>
      <c r="C26" t="s">
        <v>115</v>
      </c>
      <c r="D26">
        <v>4820</v>
      </c>
      <c r="E26">
        <v>1337</v>
      </c>
      <c r="F26">
        <v>1878</v>
      </c>
      <c r="G26">
        <v>2076</v>
      </c>
      <c r="H26">
        <v>1791</v>
      </c>
      <c r="I26">
        <v>11902</v>
      </c>
      <c r="J26">
        <v>20854</v>
      </c>
      <c r="K26">
        <v>57.07</v>
      </c>
      <c r="L26">
        <v>42.93</v>
      </c>
    </row>
    <row r="27" spans="1:12" x14ac:dyDescent="0.25">
      <c r="A27" t="s">
        <v>37</v>
      </c>
      <c r="B27" t="s">
        <v>87</v>
      </c>
      <c r="C27" t="s">
        <v>116</v>
      </c>
      <c r="D27">
        <v>4993</v>
      </c>
      <c r="E27">
        <v>3264</v>
      </c>
      <c r="F27">
        <v>1763</v>
      </c>
      <c r="G27">
        <v>3235</v>
      </c>
      <c r="H27">
        <v>1379</v>
      </c>
      <c r="I27">
        <v>14634</v>
      </c>
      <c r="J27">
        <v>28164</v>
      </c>
      <c r="K27">
        <v>51.96</v>
      </c>
      <c r="L27">
        <v>48.04</v>
      </c>
    </row>
    <row r="28" spans="1:12" x14ac:dyDescent="0.25">
      <c r="A28" t="s">
        <v>38</v>
      </c>
      <c r="B28" t="s">
        <v>88</v>
      </c>
      <c r="C28" t="s">
        <v>113</v>
      </c>
      <c r="D28">
        <v>1492</v>
      </c>
      <c r="E28">
        <v>4112</v>
      </c>
      <c r="F28">
        <v>2180</v>
      </c>
      <c r="G28">
        <v>3062</v>
      </c>
      <c r="H28">
        <v>4884</v>
      </c>
      <c r="I28">
        <v>15730</v>
      </c>
      <c r="J28">
        <v>25855</v>
      </c>
      <c r="K28">
        <v>60.84</v>
      </c>
      <c r="L28">
        <v>39.159999999999997</v>
      </c>
    </row>
    <row r="29" spans="1:12" x14ac:dyDescent="0.25">
      <c r="A29" t="s">
        <v>39</v>
      </c>
      <c r="B29" t="s">
        <v>89</v>
      </c>
      <c r="C29" t="s">
        <v>112</v>
      </c>
      <c r="D29">
        <v>1064</v>
      </c>
      <c r="E29">
        <v>4928</v>
      </c>
      <c r="F29">
        <v>4910</v>
      </c>
      <c r="G29">
        <v>3568</v>
      </c>
      <c r="H29">
        <v>2367</v>
      </c>
      <c r="I29">
        <v>16837</v>
      </c>
      <c r="J29">
        <v>27392</v>
      </c>
      <c r="K29">
        <v>61.47</v>
      </c>
      <c r="L29">
        <v>38.53</v>
      </c>
    </row>
    <row r="30" spans="1:12" x14ac:dyDescent="0.25">
      <c r="A30" t="s">
        <v>40</v>
      </c>
      <c r="B30" t="s">
        <v>90</v>
      </c>
      <c r="C30" t="s">
        <v>115</v>
      </c>
      <c r="D30">
        <v>2152</v>
      </c>
      <c r="E30">
        <v>3027</v>
      </c>
      <c r="F30">
        <v>3695</v>
      </c>
      <c r="G30">
        <v>2495</v>
      </c>
      <c r="H30">
        <v>4134</v>
      </c>
      <c r="I30">
        <v>15503</v>
      </c>
      <c r="J30">
        <v>26528</v>
      </c>
      <c r="K30">
        <v>58.44</v>
      </c>
      <c r="L30">
        <v>41.56</v>
      </c>
    </row>
    <row r="31" spans="1:12" x14ac:dyDescent="0.25">
      <c r="A31" t="s">
        <v>41</v>
      </c>
      <c r="B31" t="s">
        <v>91</v>
      </c>
      <c r="C31" t="s">
        <v>114</v>
      </c>
      <c r="D31">
        <v>2162</v>
      </c>
      <c r="E31">
        <v>2522</v>
      </c>
      <c r="F31">
        <v>3640</v>
      </c>
      <c r="G31">
        <v>1391</v>
      </c>
      <c r="H31">
        <v>2698</v>
      </c>
      <c r="I31">
        <v>12413</v>
      </c>
      <c r="J31">
        <v>25249</v>
      </c>
      <c r="K31">
        <v>49.16</v>
      </c>
      <c r="L31">
        <v>50.84</v>
      </c>
    </row>
    <row r="32" spans="1:12" x14ac:dyDescent="0.25">
      <c r="A32" t="s">
        <v>42</v>
      </c>
      <c r="B32" t="s">
        <v>92</v>
      </c>
      <c r="C32" t="s">
        <v>115</v>
      </c>
      <c r="D32">
        <v>1418</v>
      </c>
      <c r="E32">
        <v>3336</v>
      </c>
      <c r="F32">
        <v>1378</v>
      </c>
      <c r="G32">
        <v>2796</v>
      </c>
      <c r="H32">
        <v>4561</v>
      </c>
      <c r="I32">
        <v>13489</v>
      </c>
      <c r="J32">
        <v>25172</v>
      </c>
      <c r="K32">
        <v>53.59</v>
      </c>
      <c r="L32">
        <v>46.41</v>
      </c>
    </row>
    <row r="33" spans="1:12" x14ac:dyDescent="0.25">
      <c r="A33" t="s">
        <v>43</v>
      </c>
      <c r="B33" t="s">
        <v>93</v>
      </c>
      <c r="C33" t="s">
        <v>112</v>
      </c>
      <c r="D33">
        <v>3278</v>
      </c>
      <c r="E33">
        <v>4065</v>
      </c>
      <c r="F33">
        <v>3088</v>
      </c>
      <c r="G33">
        <v>4099</v>
      </c>
      <c r="H33">
        <v>3182</v>
      </c>
      <c r="I33">
        <v>17712</v>
      </c>
      <c r="J33">
        <v>21707</v>
      </c>
      <c r="K33">
        <v>81.599999999999994</v>
      </c>
      <c r="L33">
        <v>18.399999999999999</v>
      </c>
    </row>
    <row r="34" spans="1:12" x14ac:dyDescent="0.25">
      <c r="A34" t="s">
        <v>44</v>
      </c>
      <c r="B34" t="s">
        <v>94</v>
      </c>
      <c r="C34" t="s">
        <v>115</v>
      </c>
      <c r="D34">
        <v>1200</v>
      </c>
      <c r="E34">
        <v>2863</v>
      </c>
      <c r="F34">
        <v>1779</v>
      </c>
      <c r="G34">
        <v>3977</v>
      </c>
      <c r="H34">
        <v>4104</v>
      </c>
      <c r="I34">
        <v>13923</v>
      </c>
      <c r="J34">
        <v>25791</v>
      </c>
      <c r="K34">
        <v>53.98</v>
      </c>
      <c r="L34">
        <v>46.02</v>
      </c>
    </row>
    <row r="35" spans="1:12" x14ac:dyDescent="0.25">
      <c r="A35" t="s">
        <v>45</v>
      </c>
      <c r="B35" t="s">
        <v>95</v>
      </c>
      <c r="C35" t="s">
        <v>113</v>
      </c>
      <c r="D35">
        <v>4119</v>
      </c>
      <c r="E35">
        <v>1502</v>
      </c>
      <c r="F35">
        <v>3454</v>
      </c>
      <c r="G35">
        <v>4645</v>
      </c>
      <c r="H35">
        <v>2751</v>
      </c>
      <c r="I35">
        <v>16471</v>
      </c>
      <c r="J35">
        <v>29925</v>
      </c>
      <c r="K35">
        <v>55.04</v>
      </c>
      <c r="L35">
        <v>44.96</v>
      </c>
    </row>
    <row r="36" spans="1:12" x14ac:dyDescent="0.25">
      <c r="A36" t="s">
        <v>46</v>
      </c>
      <c r="B36" t="s">
        <v>96</v>
      </c>
      <c r="C36" t="s">
        <v>116</v>
      </c>
      <c r="D36">
        <v>1804</v>
      </c>
      <c r="E36">
        <v>3146</v>
      </c>
      <c r="F36">
        <v>3731</v>
      </c>
      <c r="G36">
        <v>2895</v>
      </c>
      <c r="H36">
        <v>3773</v>
      </c>
      <c r="I36">
        <v>15349</v>
      </c>
      <c r="J36">
        <v>25535</v>
      </c>
      <c r="K36">
        <v>60.11</v>
      </c>
      <c r="L36">
        <v>39.89</v>
      </c>
    </row>
    <row r="37" spans="1:12" x14ac:dyDescent="0.25">
      <c r="A37" t="s">
        <v>47</v>
      </c>
      <c r="B37" t="s">
        <v>97</v>
      </c>
      <c r="C37" t="s">
        <v>113</v>
      </c>
      <c r="D37">
        <v>2570</v>
      </c>
      <c r="E37">
        <v>1960</v>
      </c>
      <c r="F37">
        <v>4810</v>
      </c>
      <c r="G37">
        <v>3660</v>
      </c>
      <c r="H37">
        <v>2485</v>
      </c>
      <c r="I37">
        <v>15485</v>
      </c>
      <c r="J37">
        <v>24931</v>
      </c>
      <c r="K37">
        <v>62.11</v>
      </c>
      <c r="L37">
        <v>37.89</v>
      </c>
    </row>
    <row r="38" spans="1:12" x14ac:dyDescent="0.25">
      <c r="A38" t="s">
        <v>48</v>
      </c>
      <c r="B38" t="s">
        <v>98</v>
      </c>
      <c r="C38" t="s">
        <v>113</v>
      </c>
      <c r="D38">
        <v>3690</v>
      </c>
      <c r="E38">
        <v>4840</v>
      </c>
      <c r="F38">
        <v>2028</v>
      </c>
      <c r="G38">
        <v>4289</v>
      </c>
      <c r="H38">
        <v>1502</v>
      </c>
      <c r="I38">
        <v>16349</v>
      </c>
      <c r="J38">
        <v>23510</v>
      </c>
      <c r="K38">
        <v>69.540000000000006</v>
      </c>
      <c r="L38">
        <v>30.46</v>
      </c>
    </row>
    <row r="39" spans="1:12" x14ac:dyDescent="0.25">
      <c r="A39" t="s">
        <v>49</v>
      </c>
      <c r="B39" t="s">
        <v>99</v>
      </c>
      <c r="C39" t="s">
        <v>113</v>
      </c>
      <c r="D39">
        <v>3814</v>
      </c>
      <c r="E39">
        <v>1397</v>
      </c>
      <c r="F39">
        <v>1870</v>
      </c>
      <c r="G39">
        <v>3842</v>
      </c>
      <c r="H39">
        <v>1392</v>
      </c>
      <c r="I39">
        <v>12315</v>
      </c>
      <c r="J39">
        <v>20202</v>
      </c>
      <c r="K39">
        <v>60.96</v>
      </c>
      <c r="L39">
        <v>39.04</v>
      </c>
    </row>
    <row r="40" spans="1:12" x14ac:dyDescent="0.25">
      <c r="A40" t="s">
        <v>50</v>
      </c>
      <c r="B40" t="s">
        <v>100</v>
      </c>
      <c r="C40" t="s">
        <v>112</v>
      </c>
      <c r="D40">
        <v>1206</v>
      </c>
      <c r="E40">
        <v>2038</v>
      </c>
      <c r="F40">
        <v>2881</v>
      </c>
      <c r="G40">
        <v>4625</v>
      </c>
      <c r="H40">
        <v>3939</v>
      </c>
      <c r="I40">
        <v>14689</v>
      </c>
      <c r="J40">
        <v>24218</v>
      </c>
      <c r="K40">
        <v>60.65</v>
      </c>
      <c r="L40">
        <v>39.35</v>
      </c>
    </row>
    <row r="41" spans="1:12" x14ac:dyDescent="0.25">
      <c r="A41" t="s">
        <v>51</v>
      </c>
      <c r="B41" t="s">
        <v>101</v>
      </c>
      <c r="C41" t="s">
        <v>112</v>
      </c>
      <c r="D41">
        <v>2484</v>
      </c>
      <c r="E41">
        <v>4762</v>
      </c>
      <c r="F41">
        <v>4646</v>
      </c>
      <c r="G41">
        <v>1863</v>
      </c>
      <c r="H41">
        <v>3790</v>
      </c>
      <c r="I41">
        <v>17545</v>
      </c>
      <c r="J41">
        <v>28958</v>
      </c>
      <c r="K41">
        <v>60.59</v>
      </c>
      <c r="L41">
        <v>39.409999999999997</v>
      </c>
    </row>
    <row r="42" spans="1:12" x14ac:dyDescent="0.25">
      <c r="A42" t="s">
        <v>52</v>
      </c>
      <c r="B42" t="s">
        <v>102</v>
      </c>
      <c r="C42" t="s">
        <v>113</v>
      </c>
      <c r="D42">
        <v>4312</v>
      </c>
      <c r="E42">
        <v>1563</v>
      </c>
      <c r="F42">
        <v>2020</v>
      </c>
      <c r="G42">
        <v>1095</v>
      </c>
      <c r="H42">
        <v>2923</v>
      </c>
      <c r="I42">
        <v>11913</v>
      </c>
      <c r="J42">
        <v>24389</v>
      </c>
      <c r="K42">
        <v>48.85</v>
      </c>
      <c r="L42">
        <v>51.15</v>
      </c>
    </row>
    <row r="43" spans="1:12" x14ac:dyDescent="0.25">
      <c r="A43" t="s">
        <v>53</v>
      </c>
      <c r="B43" t="s">
        <v>103</v>
      </c>
      <c r="C43" t="s">
        <v>115</v>
      </c>
      <c r="D43">
        <v>2757</v>
      </c>
      <c r="E43">
        <v>3532</v>
      </c>
      <c r="F43">
        <v>4478</v>
      </c>
      <c r="G43">
        <v>3278</v>
      </c>
      <c r="H43">
        <v>3796</v>
      </c>
      <c r="I43">
        <v>17841</v>
      </c>
      <c r="J43">
        <v>22327</v>
      </c>
      <c r="K43">
        <v>79.91</v>
      </c>
      <c r="L43">
        <v>20.09</v>
      </c>
    </row>
    <row r="44" spans="1:12" x14ac:dyDescent="0.25">
      <c r="A44" t="s">
        <v>54</v>
      </c>
      <c r="B44" t="s">
        <v>104</v>
      </c>
      <c r="C44" t="s">
        <v>113</v>
      </c>
      <c r="D44">
        <v>2678</v>
      </c>
      <c r="E44">
        <v>4242</v>
      </c>
      <c r="F44">
        <v>1540</v>
      </c>
      <c r="G44">
        <v>2059</v>
      </c>
      <c r="H44">
        <v>3572</v>
      </c>
      <c r="I44">
        <v>14091</v>
      </c>
      <c r="J44">
        <v>28004</v>
      </c>
      <c r="K44">
        <v>50.32</v>
      </c>
      <c r="L44">
        <v>49.68</v>
      </c>
    </row>
    <row r="45" spans="1:12" x14ac:dyDescent="0.25">
      <c r="A45" t="s">
        <v>55</v>
      </c>
      <c r="B45" t="s">
        <v>105</v>
      </c>
      <c r="C45" t="s">
        <v>112</v>
      </c>
      <c r="D45">
        <v>2183</v>
      </c>
      <c r="E45">
        <v>4910</v>
      </c>
      <c r="F45">
        <v>2722</v>
      </c>
      <c r="G45">
        <v>4314</v>
      </c>
      <c r="H45">
        <v>4157</v>
      </c>
      <c r="I45">
        <v>18286</v>
      </c>
      <c r="J45">
        <v>22931</v>
      </c>
      <c r="K45">
        <v>79.739999999999995</v>
      </c>
      <c r="L45">
        <v>20.260000000000002</v>
      </c>
    </row>
    <row r="46" spans="1:12" x14ac:dyDescent="0.25">
      <c r="A46" t="s">
        <v>56</v>
      </c>
      <c r="B46" t="s">
        <v>106</v>
      </c>
      <c r="C46" t="s">
        <v>114</v>
      </c>
      <c r="D46">
        <v>2819</v>
      </c>
      <c r="E46">
        <v>3625</v>
      </c>
      <c r="F46">
        <v>3729</v>
      </c>
      <c r="G46">
        <v>3604</v>
      </c>
      <c r="H46">
        <v>2597</v>
      </c>
      <c r="I46">
        <v>16374</v>
      </c>
      <c r="J46">
        <v>27777</v>
      </c>
      <c r="K46">
        <v>58.95</v>
      </c>
      <c r="L46">
        <v>41.05</v>
      </c>
    </row>
    <row r="47" spans="1:12" x14ac:dyDescent="0.25">
      <c r="A47" t="s">
        <v>57</v>
      </c>
      <c r="B47" t="s">
        <v>107</v>
      </c>
      <c r="C47" t="s">
        <v>113</v>
      </c>
      <c r="D47">
        <v>4060</v>
      </c>
      <c r="E47">
        <v>3693</v>
      </c>
      <c r="F47">
        <v>1795</v>
      </c>
      <c r="G47">
        <v>2051</v>
      </c>
      <c r="H47">
        <v>2643</v>
      </c>
      <c r="I47">
        <v>14242</v>
      </c>
      <c r="J47">
        <v>20197</v>
      </c>
      <c r="K47">
        <v>70.52</v>
      </c>
      <c r="L47">
        <v>29.48</v>
      </c>
    </row>
    <row r="48" spans="1:12" x14ac:dyDescent="0.25">
      <c r="A48" t="s">
        <v>58</v>
      </c>
      <c r="B48" t="s">
        <v>108</v>
      </c>
      <c r="C48" t="s">
        <v>113</v>
      </c>
      <c r="D48">
        <v>4627</v>
      </c>
      <c r="E48">
        <v>2363</v>
      </c>
      <c r="F48">
        <v>4869</v>
      </c>
      <c r="G48">
        <v>2981</v>
      </c>
      <c r="H48">
        <v>2354</v>
      </c>
      <c r="I48">
        <v>17194</v>
      </c>
      <c r="J48">
        <v>27125</v>
      </c>
      <c r="K48">
        <v>63.39</v>
      </c>
      <c r="L48">
        <v>36.61</v>
      </c>
    </row>
    <row r="49" spans="1:12" x14ac:dyDescent="0.25">
      <c r="A49" t="s">
        <v>59</v>
      </c>
      <c r="B49" t="s">
        <v>109</v>
      </c>
      <c r="C49" t="s">
        <v>114</v>
      </c>
      <c r="D49">
        <v>2663</v>
      </c>
      <c r="E49">
        <v>2529</v>
      </c>
      <c r="F49">
        <v>3038</v>
      </c>
      <c r="G49">
        <v>4419</v>
      </c>
      <c r="H49">
        <v>2496</v>
      </c>
      <c r="I49">
        <v>15145</v>
      </c>
      <c r="J49">
        <v>21930</v>
      </c>
      <c r="K49">
        <v>69.06</v>
      </c>
      <c r="L49">
        <v>30.94</v>
      </c>
    </row>
    <row r="50" spans="1:12" x14ac:dyDescent="0.25">
      <c r="A50" t="s">
        <v>60</v>
      </c>
      <c r="B50" t="s">
        <v>110</v>
      </c>
      <c r="C50" t="s">
        <v>113</v>
      </c>
      <c r="D50">
        <v>4302</v>
      </c>
      <c r="E50">
        <v>3237</v>
      </c>
      <c r="F50">
        <v>4296</v>
      </c>
      <c r="G50">
        <v>2408</v>
      </c>
      <c r="H50">
        <v>2400</v>
      </c>
      <c r="I50">
        <v>16643</v>
      </c>
      <c r="J50">
        <v>26287</v>
      </c>
      <c r="K50">
        <v>63.31</v>
      </c>
      <c r="L50">
        <v>36.69</v>
      </c>
    </row>
    <row r="51" spans="1:12" x14ac:dyDescent="0.25">
      <c r="A51" t="s">
        <v>61</v>
      </c>
      <c r="B51" t="s">
        <v>111</v>
      </c>
      <c r="C51" t="s">
        <v>114</v>
      </c>
      <c r="D51">
        <v>2306</v>
      </c>
      <c r="E51">
        <v>3680</v>
      </c>
      <c r="F51">
        <v>3675</v>
      </c>
      <c r="G51">
        <v>1972</v>
      </c>
      <c r="H51">
        <v>2768</v>
      </c>
      <c r="I51">
        <v>14401</v>
      </c>
      <c r="J51">
        <v>28800</v>
      </c>
      <c r="K51">
        <v>50</v>
      </c>
      <c r="L51">
        <v>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Akhtar Khizar</dc:creator>
  <cp:lastModifiedBy>Akhtar Khizar</cp:lastModifiedBy>
  <dcterms:created xsi:type="dcterms:W3CDTF">2025-07-13T14:39:11Z</dcterms:created>
  <dcterms:modified xsi:type="dcterms:W3CDTF">2025-07-13T17:20:51Z</dcterms:modified>
</cp:coreProperties>
</file>